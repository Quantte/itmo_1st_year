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fadey\Documents\ITMO\lab5\"/>
    </mc:Choice>
  </mc:AlternateContent>
  <xr:revisionPtr revIDLastSave="0" documentId="13_ncr:1_{4F02F8A6-E9EA-4C12-89AB-3885CC5DFC82}" xr6:coauthVersionLast="36" xr6:coauthVersionMax="36" xr10:uidLastSave="{00000000-0000-0000-0000-000000000000}"/>
  <bookViews>
    <workbookView xWindow="0" yWindow="0" windowWidth="28800" windowHeight="14720" xr2:uid="{247D0D2D-5B6A-46CC-8398-2F29EBE7B0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2" i="1" l="1"/>
  <c r="AR47" i="1" l="1"/>
  <c r="AR46" i="1"/>
  <c r="AR40" i="1"/>
  <c r="AR39" i="1"/>
  <c r="AR33" i="1"/>
  <c r="AR32" i="1"/>
  <c r="AR26" i="1"/>
  <c r="AR25" i="1"/>
  <c r="AR19" i="1"/>
  <c r="AR18" i="1"/>
  <c r="AM47" i="1"/>
  <c r="AM46" i="1"/>
  <c r="AM40" i="1"/>
  <c r="AM39" i="1"/>
  <c r="AM33" i="1"/>
  <c r="AM32" i="1"/>
  <c r="AM26" i="1"/>
  <c r="AM25" i="1"/>
  <c r="AM19" i="1"/>
  <c r="AM18" i="1"/>
  <c r="AH47" i="1"/>
  <c r="AH46" i="1"/>
  <c r="AH40" i="1"/>
  <c r="AH39" i="1"/>
  <c r="AH33" i="1"/>
  <c r="AH26" i="1"/>
  <c r="AH25" i="1"/>
  <c r="AH19" i="1"/>
  <c r="AH18" i="1"/>
  <c r="AR12" i="1" l="1"/>
  <c r="AR11" i="1"/>
  <c r="AM12" i="1"/>
  <c r="AM11" i="1"/>
  <c r="AH12" i="1"/>
  <c r="AH11" i="1"/>
  <c r="AR5" i="1"/>
  <c r="AM5" i="1"/>
  <c r="AH5" i="1"/>
  <c r="AR4" i="1"/>
  <c r="AM4" i="1"/>
  <c r="AH4" i="1"/>
  <c r="C8" i="1"/>
  <c r="A26" i="1" s="1"/>
  <c r="C7" i="1"/>
  <c r="A25" i="1" s="1"/>
  <c r="C6" i="1"/>
  <c r="A24" i="1" s="1"/>
  <c r="C5" i="1"/>
  <c r="A23" i="1" s="1"/>
  <c r="C4" i="1"/>
  <c r="A22" i="1" s="1"/>
  <c r="BD5" i="1" l="1"/>
  <c r="BD12" i="1"/>
  <c r="BD11" i="1"/>
  <c r="V5" i="1"/>
  <c r="H5" i="1"/>
  <c r="N5" i="1"/>
  <c r="S5" i="1"/>
  <c r="T5" i="1"/>
  <c r="Y5" i="1"/>
  <c r="J5" i="1"/>
  <c r="Q5" i="1"/>
  <c r="X5" i="1"/>
  <c r="I5" i="1"/>
  <c r="G5" i="1"/>
  <c r="O5" i="1"/>
  <c r="R5" i="1"/>
  <c r="W5" i="1"/>
  <c r="M5" i="1"/>
  <c r="L5" i="1"/>
  <c r="G8" i="1"/>
  <c r="H8" i="1"/>
  <c r="I8" i="1"/>
  <c r="J8" i="1"/>
  <c r="T8" i="1"/>
  <c r="X8" i="1"/>
  <c r="Y8" i="1"/>
  <c r="Q8" i="1"/>
  <c r="M8" i="1"/>
  <c r="N8" i="1"/>
  <c r="W8" i="1"/>
  <c r="S8" i="1"/>
  <c r="R8" i="1"/>
  <c r="L8" i="1"/>
  <c r="V8" i="1"/>
  <c r="O8" i="1"/>
  <c r="Q4" i="1"/>
  <c r="V4" i="1"/>
  <c r="O4" i="1"/>
  <c r="I4" i="1"/>
  <c r="W4" i="1"/>
  <c r="T4" i="1"/>
  <c r="N4" i="1"/>
  <c r="M4" i="1"/>
  <c r="H4" i="1"/>
  <c r="G4" i="1"/>
  <c r="Y4" i="1"/>
  <c r="S4" i="1"/>
  <c r="R4" i="1"/>
  <c r="L4" i="1"/>
  <c r="J4" i="1"/>
  <c r="X4" i="1"/>
  <c r="Q6" i="1"/>
  <c r="J6" i="1"/>
  <c r="G6" i="1"/>
  <c r="S6" i="1"/>
  <c r="I6" i="1"/>
  <c r="N6" i="1"/>
  <c r="O6" i="1"/>
  <c r="W6" i="1"/>
  <c r="X6" i="1"/>
  <c r="H6" i="1"/>
  <c r="M6" i="1"/>
  <c r="Y6" i="1"/>
  <c r="R6" i="1"/>
  <c r="T6" i="1"/>
  <c r="L6" i="1"/>
  <c r="V6" i="1"/>
  <c r="O7" i="1"/>
  <c r="Q7" i="1"/>
  <c r="N7" i="1"/>
  <c r="R7" i="1"/>
  <c r="Y7" i="1"/>
  <c r="T7" i="1"/>
  <c r="G7" i="1"/>
  <c r="X7" i="1"/>
  <c r="H7" i="1"/>
  <c r="L7" i="1"/>
  <c r="M7" i="1"/>
  <c r="V7" i="1"/>
  <c r="J7" i="1"/>
  <c r="S7" i="1"/>
  <c r="W7" i="1"/>
  <c r="I7" i="1"/>
  <c r="C11" i="1"/>
  <c r="A29" i="1" s="1"/>
  <c r="BD18" i="1"/>
  <c r="BD47" i="1"/>
  <c r="C10" i="1"/>
  <c r="A28" i="1" s="1"/>
  <c r="BD32" i="1"/>
  <c r="BD4" i="1"/>
  <c r="BD7" i="1" s="1"/>
  <c r="C14" i="1"/>
  <c r="A32" i="1" s="1"/>
  <c r="C12" i="1"/>
  <c r="A30" i="1" s="1"/>
  <c r="C13" i="1"/>
  <c r="A31" i="1" s="1"/>
  <c r="C9" i="1"/>
  <c r="A27" i="1" s="1"/>
  <c r="BD14" i="1" l="1"/>
  <c r="T11" i="1"/>
  <c r="I11" i="1"/>
  <c r="J11" i="1"/>
  <c r="Q11" i="1"/>
  <c r="S11" i="1"/>
  <c r="M11" i="1"/>
  <c r="N11" i="1"/>
  <c r="O11" i="1"/>
  <c r="R11" i="1"/>
  <c r="G11" i="1"/>
  <c r="Y11" i="1"/>
  <c r="X11" i="1"/>
  <c r="W11" i="1"/>
  <c r="V11" i="1"/>
  <c r="L11" i="1"/>
  <c r="H11" i="1"/>
  <c r="L14" i="1"/>
  <c r="J14" i="1"/>
  <c r="M14" i="1"/>
  <c r="Q14" i="1"/>
  <c r="AN46" i="1" s="1"/>
  <c r="I14" i="1"/>
  <c r="G14" i="1"/>
  <c r="W14" i="1"/>
  <c r="H14" i="1"/>
  <c r="Y14" i="1"/>
  <c r="AV46" i="1" s="1"/>
  <c r="V14" i="1"/>
  <c r="T14" i="1"/>
  <c r="AQ46" i="1" s="1"/>
  <c r="O14" i="1"/>
  <c r="AL46" i="1" s="1"/>
  <c r="N14" i="1"/>
  <c r="AK46" i="1" s="1"/>
  <c r="R14" i="1"/>
  <c r="AO46" i="1" s="1"/>
  <c r="S14" i="1"/>
  <c r="AP46" i="1" s="1"/>
  <c r="X14" i="1"/>
  <c r="R13" i="1"/>
  <c r="Q13" i="1"/>
  <c r="W13" i="1"/>
  <c r="V13" i="1"/>
  <c r="T13" i="1"/>
  <c r="L13" i="1"/>
  <c r="Y13" i="1"/>
  <c r="O13" i="1"/>
  <c r="M13" i="1"/>
  <c r="G13" i="1"/>
  <c r="H13" i="1"/>
  <c r="N13" i="1"/>
  <c r="I13" i="1"/>
  <c r="S13" i="1"/>
  <c r="X13" i="1"/>
  <c r="J13" i="1"/>
  <c r="H10" i="1"/>
  <c r="W10" i="1"/>
  <c r="M10" i="1"/>
  <c r="V10" i="1"/>
  <c r="S10" i="1"/>
  <c r="N10" i="1"/>
  <c r="R10" i="1"/>
  <c r="T10" i="1"/>
  <c r="Y10" i="1"/>
  <c r="L10" i="1"/>
  <c r="G10" i="1"/>
  <c r="I10" i="1"/>
  <c r="X10" i="1"/>
  <c r="Q10" i="1"/>
  <c r="O10" i="1"/>
  <c r="J10" i="1"/>
  <c r="Y9" i="1"/>
  <c r="L9" i="1"/>
  <c r="Q9" i="1"/>
  <c r="X9" i="1"/>
  <c r="V9" i="1"/>
  <c r="I9" i="1"/>
  <c r="S9" i="1"/>
  <c r="M9" i="1"/>
  <c r="R9" i="1"/>
  <c r="N9" i="1"/>
  <c r="G9" i="1"/>
  <c r="H9" i="1"/>
  <c r="J9" i="1"/>
  <c r="W9" i="1"/>
  <c r="T9" i="1"/>
  <c r="O9" i="1"/>
  <c r="V12" i="1"/>
  <c r="L12" i="1"/>
  <c r="M12" i="1"/>
  <c r="N12" i="1"/>
  <c r="O12" i="1"/>
  <c r="R12" i="1"/>
  <c r="AO40" i="1" s="1"/>
  <c r="S12" i="1"/>
  <c r="AP40" i="1" s="1"/>
  <c r="T12" i="1"/>
  <c r="Q12" i="1"/>
  <c r="J12" i="1"/>
  <c r="H12" i="1"/>
  <c r="W12" i="1"/>
  <c r="Y12" i="1"/>
  <c r="G12" i="1"/>
  <c r="AD40" i="1" s="1"/>
  <c r="X12" i="1"/>
  <c r="AU40" i="1" s="1"/>
  <c r="I12" i="1"/>
  <c r="BD26" i="1"/>
  <c r="BD39" i="1"/>
  <c r="BD33" i="1"/>
  <c r="BD35" i="1" s="1"/>
  <c r="AV32" i="1"/>
  <c r="AV4" i="1"/>
  <c r="BD40" i="1"/>
  <c r="BD42" i="1" s="1"/>
  <c r="BD46" i="1"/>
  <c r="BD49" i="1" s="1"/>
  <c r="BD19" i="1"/>
  <c r="BD21" i="1" s="1"/>
  <c r="BD25" i="1"/>
  <c r="BD28" i="1" s="1"/>
  <c r="AI40" i="1"/>
  <c r="AJ40" i="1"/>
  <c r="AK40" i="1"/>
  <c r="AL40" i="1"/>
  <c r="AN40" i="1"/>
  <c r="AJ46" i="1"/>
  <c r="C15" i="1"/>
  <c r="A33" i="1" s="1"/>
  <c r="X15" i="1" l="1"/>
  <c r="O15" i="1"/>
  <c r="J15" i="1"/>
  <c r="G15" i="1"/>
  <c r="V15" i="1"/>
  <c r="R15" i="1"/>
  <c r="H15" i="1"/>
  <c r="T15" i="1"/>
  <c r="Q15" i="1"/>
  <c r="L15" i="1"/>
  <c r="W15" i="1"/>
  <c r="Y15" i="1"/>
  <c r="N15" i="1"/>
  <c r="S15" i="1"/>
  <c r="I15" i="1"/>
  <c r="M15" i="1"/>
  <c r="AL18" i="1"/>
  <c r="AL5" i="1"/>
  <c r="AL11" i="1"/>
  <c r="AD18" i="1"/>
  <c r="AD11" i="1"/>
  <c r="AD5" i="1"/>
  <c r="AO18" i="1"/>
  <c r="AO11" i="1"/>
  <c r="AO5" i="1"/>
  <c r="AN18" i="1"/>
  <c r="AN11" i="1"/>
  <c r="AN5" i="1"/>
  <c r="AV18" i="1"/>
  <c r="AV11" i="1"/>
  <c r="AV5" i="1"/>
  <c r="AS18" i="1"/>
  <c r="AS11" i="1"/>
  <c r="AS5" i="1"/>
  <c r="AK18" i="1"/>
  <c r="AK5" i="1"/>
  <c r="AK11" i="1"/>
  <c r="AI18" i="1"/>
  <c r="AI11" i="1"/>
  <c r="AI5" i="1"/>
  <c r="AG18" i="1"/>
  <c r="AG5" i="1"/>
  <c r="AG11" i="1"/>
  <c r="AF18" i="1"/>
  <c r="AF5" i="1"/>
  <c r="AF11" i="1"/>
  <c r="AE18" i="1"/>
  <c r="AE11" i="1"/>
  <c r="AE5" i="1"/>
  <c r="AU18" i="1"/>
  <c r="AU11" i="1"/>
  <c r="AU5" i="1"/>
  <c r="AT18" i="1"/>
  <c r="AT11" i="1"/>
  <c r="AT5" i="1"/>
  <c r="AQ18" i="1"/>
  <c r="AQ5" i="1"/>
  <c r="AQ11" i="1"/>
  <c r="AP18" i="1"/>
  <c r="AP11" i="1"/>
  <c r="AP5" i="1"/>
  <c r="AJ18" i="1"/>
  <c r="AJ5" i="1"/>
  <c r="AJ11" i="1"/>
  <c r="AG47" i="1"/>
  <c r="AG12" i="1"/>
  <c r="AU32" i="1"/>
  <c r="AU4" i="1"/>
  <c r="AE46" i="1"/>
  <c r="AD47" i="1"/>
  <c r="AD12" i="1"/>
  <c r="AE40" i="1"/>
  <c r="AJ32" i="1"/>
  <c r="AJ4" i="1"/>
  <c r="AK47" i="1"/>
  <c r="AK12" i="1"/>
  <c r="AD32" i="1"/>
  <c r="AD4" i="1"/>
  <c r="AO47" i="1"/>
  <c r="AO12" i="1"/>
  <c r="AQ32" i="1"/>
  <c r="AQ4" i="1"/>
  <c r="AN32" i="1"/>
  <c r="AN4" i="1"/>
  <c r="AL47" i="1"/>
  <c r="AL12" i="1"/>
  <c r="AG32" i="1"/>
  <c r="AG4" i="1"/>
  <c r="AJ47" i="1"/>
  <c r="AJ12" i="1"/>
  <c r="AI47" i="1"/>
  <c r="AI12" i="1"/>
  <c r="AF47" i="1"/>
  <c r="AF12" i="1"/>
  <c r="AG40" i="1"/>
  <c r="AF40" i="1"/>
  <c r="AS40" i="1"/>
  <c r="AS32" i="1"/>
  <c r="AS4" i="1"/>
  <c r="AV47" i="1"/>
  <c r="AU45" i="1" s="1"/>
  <c r="AV12" i="1"/>
  <c r="AT40" i="1"/>
  <c r="AT32" i="1"/>
  <c r="AT4" i="1"/>
  <c r="AF46" i="1"/>
  <c r="AE47" i="1"/>
  <c r="AE12" i="1"/>
  <c r="AE32" i="1"/>
  <c r="AE4" i="1"/>
  <c r="AU46" i="1"/>
  <c r="AU47" i="1"/>
  <c r="AU12" i="1"/>
  <c r="AK32" i="1"/>
  <c r="AK4" i="1"/>
  <c r="AS47" i="1"/>
  <c r="AS12" i="1"/>
  <c r="AS46" i="1"/>
  <c r="AD46" i="1"/>
  <c r="AQ47" i="1"/>
  <c r="AQ12" i="1"/>
  <c r="AQ40" i="1"/>
  <c r="AO32" i="1"/>
  <c r="AO4" i="1"/>
  <c r="AL32" i="1"/>
  <c r="AL4" i="1"/>
  <c r="AP47" i="1"/>
  <c r="AP12" i="1"/>
  <c r="AN47" i="1"/>
  <c r="AN12" i="1"/>
  <c r="AI32" i="1"/>
  <c r="AI4" i="1"/>
  <c r="AI46" i="1"/>
  <c r="AG46" i="1"/>
  <c r="AT46" i="1"/>
  <c r="AV40" i="1"/>
  <c r="AT47" i="1"/>
  <c r="AT12" i="1"/>
  <c r="AP32" i="1"/>
  <c r="AP4" i="1"/>
  <c r="AF32" i="1"/>
  <c r="AF4" i="1"/>
  <c r="AN9" i="1" l="1"/>
  <c r="AG39" i="1"/>
  <c r="AG33" i="1"/>
  <c r="AG26" i="1"/>
  <c r="AF33" i="1"/>
  <c r="AF26" i="1"/>
  <c r="AF39" i="1"/>
  <c r="AS39" i="1"/>
  <c r="AS26" i="1"/>
  <c r="AS33" i="1"/>
  <c r="AL33" i="1"/>
  <c r="AL39" i="1"/>
  <c r="AL26" i="1"/>
  <c r="AU39" i="1"/>
  <c r="AU26" i="1"/>
  <c r="AU33" i="1"/>
  <c r="AI26" i="1"/>
  <c r="AI39" i="1"/>
  <c r="AI33" i="1"/>
  <c r="AD33" i="1"/>
  <c r="AD26" i="1"/>
  <c r="AD39" i="1"/>
  <c r="AK33" i="1"/>
  <c r="AK26" i="1"/>
  <c r="AK39" i="1"/>
  <c r="AP26" i="1"/>
  <c r="AP39" i="1"/>
  <c r="AP33" i="1"/>
  <c r="AJ39" i="1"/>
  <c r="AJ33" i="1"/>
  <c r="AJ26" i="1"/>
  <c r="AQ33" i="1"/>
  <c r="AQ39" i="1"/>
  <c r="AQ26" i="1"/>
  <c r="AO26" i="1"/>
  <c r="AO33" i="1"/>
  <c r="AO39" i="1"/>
  <c r="AV33" i="1"/>
  <c r="AV39" i="1"/>
  <c r="AU38" i="1" s="1"/>
  <c r="AV26" i="1"/>
  <c r="AE33" i="1"/>
  <c r="AE39" i="1"/>
  <c r="AE26" i="1"/>
  <c r="AT33" i="1"/>
  <c r="AT26" i="1"/>
  <c r="AT39" i="1"/>
  <c r="AN39" i="1"/>
  <c r="AN33" i="1"/>
  <c r="AN26" i="1"/>
  <c r="AQ19" i="1"/>
  <c r="AQ25" i="1"/>
  <c r="AI19" i="1"/>
  <c r="AI25" i="1"/>
  <c r="AF25" i="1"/>
  <c r="AF19" i="1"/>
  <c r="AU10" i="1"/>
  <c r="AU14" i="1" s="1"/>
  <c r="AV14" i="1"/>
  <c r="AP25" i="1"/>
  <c r="AP19" i="1"/>
  <c r="AN19" i="1"/>
  <c r="AN25" i="1"/>
  <c r="AJ19" i="1"/>
  <c r="AJ25" i="1"/>
  <c r="AE25" i="1"/>
  <c r="AE19" i="1"/>
  <c r="AL25" i="1"/>
  <c r="AL19" i="1"/>
  <c r="AU25" i="1"/>
  <c r="AU19" i="1"/>
  <c r="AD25" i="1"/>
  <c r="AD19" i="1"/>
  <c r="AT45" i="1"/>
  <c r="AT49" i="1" s="1"/>
  <c r="AU49" i="1"/>
  <c r="AT25" i="1"/>
  <c r="AT19" i="1"/>
  <c r="AK25" i="1"/>
  <c r="AK19" i="1"/>
  <c r="AV25" i="1"/>
  <c r="AV19" i="1"/>
  <c r="AS19" i="1"/>
  <c r="AS25" i="1"/>
  <c r="AO19" i="1"/>
  <c r="AO25" i="1"/>
  <c r="AG19" i="1"/>
  <c r="AG25" i="1"/>
  <c r="AV49" i="1"/>
  <c r="AU3" i="1"/>
  <c r="AU7" i="1" s="1"/>
  <c r="AV7" i="1"/>
  <c r="AT10" i="1" l="1"/>
  <c r="AT14" i="1" s="1"/>
  <c r="AU31" i="1"/>
  <c r="AT31" i="1" s="1"/>
  <c r="AT35" i="1" s="1"/>
  <c r="AV35" i="1"/>
  <c r="AV42" i="1"/>
  <c r="AS45" i="1"/>
  <c r="AT3" i="1"/>
  <c r="AT7" i="1" s="1"/>
  <c r="AS10" i="1"/>
  <c r="AU17" i="1"/>
  <c r="AU21" i="1" s="1"/>
  <c r="AV21" i="1"/>
  <c r="AV28" i="1"/>
  <c r="AU24" i="1"/>
  <c r="AT24" i="1" s="1"/>
  <c r="AS24" i="1" s="1"/>
  <c r="AU42" i="1"/>
  <c r="AT38" i="1"/>
  <c r="AU35" i="1" l="1"/>
  <c r="AS31" i="1"/>
  <c r="AS35" i="1" s="1"/>
  <c r="AU28" i="1"/>
  <c r="AS3" i="1"/>
  <c r="AQ45" i="1"/>
  <c r="AN51" i="1"/>
  <c r="AS49" i="1"/>
  <c r="AN37" i="1"/>
  <c r="AQ31" i="1"/>
  <c r="AP31" i="1" s="1"/>
  <c r="AS28" i="1"/>
  <c r="AQ24" i="1"/>
  <c r="AN30" i="1"/>
  <c r="AT17" i="1"/>
  <c r="AT42" i="1"/>
  <c r="AS38" i="1"/>
  <c r="AS14" i="1"/>
  <c r="AQ10" i="1"/>
  <c r="AN16" i="1"/>
  <c r="AT28" i="1"/>
  <c r="AQ35" i="1" l="1"/>
  <c r="AQ3" i="1"/>
  <c r="AS7" i="1"/>
  <c r="AP45" i="1"/>
  <c r="AQ49" i="1"/>
  <c r="AQ14" i="1"/>
  <c r="AP10" i="1"/>
  <c r="AS42" i="1"/>
  <c r="AN44" i="1"/>
  <c r="AQ38" i="1"/>
  <c r="AT21" i="1"/>
  <c r="AS17" i="1"/>
  <c r="AP24" i="1"/>
  <c r="AQ28" i="1"/>
  <c r="AP35" i="1"/>
  <c r="AO31" i="1"/>
  <c r="AO45" i="1" l="1"/>
  <c r="AP49" i="1"/>
  <c r="AP3" i="1"/>
  <c r="AQ7" i="1"/>
  <c r="AN31" i="1"/>
  <c r="AO35" i="1"/>
  <c r="AN23" i="1"/>
  <c r="AS21" i="1"/>
  <c r="AQ17" i="1"/>
  <c r="AP38" i="1"/>
  <c r="AQ42" i="1"/>
  <c r="AO24" i="1"/>
  <c r="AP28" i="1"/>
  <c r="AO10" i="1"/>
  <c r="AP14" i="1"/>
  <c r="AO3" i="1" l="1"/>
  <c r="AP7" i="1"/>
  <c r="AO49" i="1"/>
  <c r="AN45" i="1"/>
  <c r="AO38" i="1"/>
  <c r="AP42" i="1"/>
  <c r="AO14" i="1"/>
  <c r="AN10" i="1"/>
  <c r="AN24" i="1"/>
  <c r="AO28" i="1"/>
  <c r="AP17" i="1"/>
  <c r="AQ21" i="1"/>
  <c r="AL31" i="1"/>
  <c r="AN35" i="1"/>
  <c r="AI37" i="1" s="1"/>
  <c r="AN49" i="1" l="1"/>
  <c r="AI51" i="1" s="1"/>
  <c r="AL45" i="1"/>
  <c r="AN3" i="1"/>
  <c r="AO7" i="1"/>
  <c r="AL35" i="1"/>
  <c r="AK31" i="1"/>
  <c r="AP21" i="1"/>
  <c r="AO17" i="1"/>
  <c r="AL10" i="1"/>
  <c r="AN14" i="1"/>
  <c r="AI16" i="1" s="1"/>
  <c r="AL24" i="1"/>
  <c r="AN28" i="1"/>
  <c r="AI30" i="1" s="1"/>
  <c r="AN38" i="1"/>
  <c r="AO42" i="1"/>
  <c r="AL3" i="1" l="1"/>
  <c r="AN7" i="1"/>
  <c r="AI9" i="1" s="1"/>
  <c r="AK45" i="1"/>
  <c r="AL49" i="1"/>
  <c r="AL38" i="1"/>
  <c r="AN42" i="1"/>
  <c r="AI44" i="1" s="1"/>
  <c r="AK24" i="1"/>
  <c r="AL28" i="1"/>
  <c r="AK10" i="1"/>
  <c r="AL14" i="1"/>
  <c r="AN17" i="1"/>
  <c r="AO21" i="1"/>
  <c r="AK35" i="1"/>
  <c r="AJ31" i="1"/>
  <c r="AJ45" i="1" l="1"/>
  <c r="AK49" i="1"/>
  <c r="AL7" i="1"/>
  <c r="AK3" i="1"/>
  <c r="AI31" i="1"/>
  <c r="AJ35" i="1"/>
  <c r="AL17" i="1"/>
  <c r="AN21" i="1"/>
  <c r="AI23" i="1" s="1"/>
  <c r="AJ10" i="1"/>
  <c r="AK14" i="1"/>
  <c r="AJ24" i="1"/>
  <c r="AK28" i="1"/>
  <c r="AK38" i="1"/>
  <c r="AL42" i="1"/>
  <c r="AK7" i="1" l="1"/>
  <c r="AJ3" i="1"/>
  <c r="AJ49" i="1"/>
  <c r="AI45" i="1"/>
  <c r="AK42" i="1"/>
  <c r="AJ38" i="1"/>
  <c r="AI24" i="1"/>
  <c r="AJ28" i="1"/>
  <c r="AI10" i="1"/>
  <c r="AJ14" i="1"/>
  <c r="AK17" i="1"/>
  <c r="AL21" i="1"/>
  <c r="AG31" i="1"/>
  <c r="AI35" i="1"/>
  <c r="AI49" i="1" l="1"/>
  <c r="AG45" i="1"/>
  <c r="AI3" i="1"/>
  <c r="AJ7" i="1"/>
  <c r="AG35" i="1"/>
  <c r="AF31" i="1"/>
  <c r="AI14" i="1"/>
  <c r="AG10" i="1"/>
  <c r="AJ17" i="1"/>
  <c r="AK21" i="1"/>
  <c r="AI28" i="1"/>
  <c r="AG24" i="1"/>
  <c r="AI38" i="1"/>
  <c r="AJ42" i="1"/>
  <c r="AG3" i="1" l="1"/>
  <c r="AI7" i="1"/>
  <c r="AG49" i="1"/>
  <c r="AF45" i="1"/>
  <c r="AF24" i="1"/>
  <c r="AG28" i="1"/>
  <c r="AI17" i="1"/>
  <c r="AJ21" i="1"/>
  <c r="AI42" i="1"/>
  <c r="AG38" i="1"/>
  <c r="AG14" i="1"/>
  <c r="AF10" i="1"/>
  <c r="AF35" i="1"/>
  <c r="AE31" i="1"/>
  <c r="AF49" i="1" l="1"/>
  <c r="AE45" i="1"/>
  <c r="AG7" i="1"/>
  <c r="AF3" i="1"/>
  <c r="AF14" i="1"/>
  <c r="AE10" i="1"/>
  <c r="AE35" i="1"/>
  <c r="AD31" i="1"/>
  <c r="AG42" i="1"/>
  <c r="AF38" i="1"/>
  <c r="AG17" i="1"/>
  <c r="AI21" i="1"/>
  <c r="AE24" i="1"/>
  <c r="AF28" i="1"/>
  <c r="AE3" i="1" l="1"/>
  <c r="AF7" i="1"/>
  <c r="AD45" i="1"/>
  <c r="AE49" i="1"/>
  <c r="AF42" i="1"/>
  <c r="AE38" i="1"/>
  <c r="AD24" i="1"/>
  <c r="AE28" i="1"/>
  <c r="AG21" i="1"/>
  <c r="AF17" i="1"/>
  <c r="AC31" i="1"/>
  <c r="AD37" i="1" s="1"/>
  <c r="AD35" i="1"/>
  <c r="AE14" i="1"/>
  <c r="AD10" i="1"/>
  <c r="AC45" i="1" l="1"/>
  <c r="AD51" i="1" s="1"/>
  <c r="AD49" i="1"/>
  <c r="AE7" i="1"/>
  <c r="AD3" i="1"/>
  <c r="AD7" i="1" s="1"/>
  <c r="AD14" i="1"/>
  <c r="AC10" i="1"/>
  <c r="AD16" i="1" s="1"/>
  <c r="AG36" i="1"/>
  <c r="AZ37" i="1"/>
  <c r="AL36" i="1"/>
  <c r="AP36" i="1"/>
  <c r="AU36" i="1"/>
  <c r="AN36" i="1"/>
  <c r="AF36" i="1"/>
  <c r="AQ36" i="1"/>
  <c r="AO36" i="1"/>
  <c r="AI36" i="1"/>
  <c r="AV36" i="1"/>
  <c r="AJ36" i="1"/>
  <c r="AK36" i="1"/>
  <c r="AD36" i="1"/>
  <c r="AS36" i="1"/>
  <c r="AX37" i="1"/>
  <c r="AE36" i="1"/>
  <c r="AT36" i="1"/>
  <c r="AE17" i="1"/>
  <c r="AF21" i="1"/>
  <c r="AC24" i="1"/>
  <c r="AD30" i="1" s="1"/>
  <c r="AD28" i="1"/>
  <c r="AD38" i="1"/>
  <c r="AE42" i="1"/>
  <c r="AC3" i="1" l="1"/>
  <c r="AD9" i="1" s="1"/>
  <c r="AS50" i="1"/>
  <c r="AX51" i="1"/>
  <c r="AI50" i="1"/>
  <c r="AG50" i="1"/>
  <c r="AL50" i="1"/>
  <c r="AD50" i="1"/>
  <c r="AZ51" i="1"/>
  <c r="AQ50" i="1"/>
  <c r="AE50" i="1"/>
  <c r="AV50" i="1"/>
  <c r="AJ50" i="1"/>
  <c r="AN50" i="1"/>
  <c r="AT50" i="1"/>
  <c r="AO50" i="1"/>
  <c r="AK50" i="1"/>
  <c r="AP50" i="1"/>
  <c r="AU50" i="1"/>
  <c r="AF50" i="1"/>
  <c r="AC38" i="1"/>
  <c r="AD44" i="1" s="1"/>
  <c r="AD42" i="1"/>
  <c r="AJ29" i="1"/>
  <c r="AK29" i="1"/>
  <c r="AV29" i="1"/>
  <c r="AU29" i="1"/>
  <c r="AX30" i="1"/>
  <c r="AZ30" i="1"/>
  <c r="AI29" i="1"/>
  <c r="AG29" i="1"/>
  <c r="AF29" i="1"/>
  <c r="AD29" i="1"/>
  <c r="AE29" i="1"/>
  <c r="AT29" i="1"/>
  <c r="AQ29" i="1"/>
  <c r="AO29" i="1"/>
  <c r="AL29" i="1"/>
  <c r="AS29" i="1"/>
  <c r="AP29" i="1"/>
  <c r="AN29" i="1"/>
  <c r="AD17" i="1"/>
  <c r="AE21" i="1"/>
  <c r="AX35" i="1"/>
  <c r="AX16" i="1"/>
  <c r="AZ16" i="1"/>
  <c r="AG15" i="1"/>
  <c r="AS15" i="1"/>
  <c r="AE15" i="1"/>
  <c r="AJ15" i="1"/>
  <c r="AP15" i="1"/>
  <c r="AO15" i="1"/>
  <c r="AL15" i="1"/>
  <c r="AK15" i="1"/>
  <c r="AI15" i="1"/>
  <c r="AF15" i="1"/>
  <c r="AD15" i="1"/>
  <c r="AQ15" i="1"/>
  <c r="AV15" i="1"/>
  <c r="AN15" i="1"/>
  <c r="AU15" i="1"/>
  <c r="AT15" i="1"/>
  <c r="AX49" i="1" l="1"/>
  <c r="AS51" i="1" s="1"/>
  <c r="AX28" i="1"/>
  <c r="AS30" i="1" s="1"/>
  <c r="AE8" i="1"/>
  <c r="AK8" i="1"/>
  <c r="AZ9" i="1"/>
  <c r="AG8" i="1"/>
  <c r="AD8" i="1"/>
  <c r="AV8" i="1"/>
  <c r="AP8" i="1"/>
  <c r="AQ8" i="1"/>
  <c r="AL8" i="1"/>
  <c r="AJ8" i="1"/>
  <c r="AX9" i="1"/>
  <c r="AI8" i="1"/>
  <c r="AU8" i="1"/>
  <c r="AT8" i="1"/>
  <c r="AS8" i="1"/>
  <c r="AO8" i="1"/>
  <c r="AN8" i="1"/>
  <c r="AF8" i="1"/>
  <c r="AX14" i="1"/>
  <c r="BF25" i="1"/>
  <c r="AS37" i="1"/>
  <c r="BF32" i="1"/>
  <c r="AC17" i="1"/>
  <c r="AD23" i="1" s="1"/>
  <c r="AD21" i="1"/>
  <c r="AQ43" i="1"/>
  <c r="AN43" i="1"/>
  <c r="AG43" i="1"/>
  <c r="AP43" i="1"/>
  <c r="AK43" i="1"/>
  <c r="AV43" i="1"/>
  <c r="AU43" i="1"/>
  <c r="AS43" i="1"/>
  <c r="AO43" i="1"/>
  <c r="AF43" i="1"/>
  <c r="AX44" i="1"/>
  <c r="AI43" i="1"/>
  <c r="AE43" i="1"/>
  <c r="AL43" i="1"/>
  <c r="AJ43" i="1"/>
  <c r="AZ44" i="1"/>
  <c r="AT43" i="1"/>
  <c r="AD43" i="1"/>
  <c r="BF46" i="1" l="1"/>
  <c r="AS16" i="1"/>
  <c r="BF11" i="1"/>
  <c r="AX7" i="1"/>
  <c r="BF4" i="1" s="1"/>
  <c r="AX42" i="1"/>
  <c r="AQ22" i="1"/>
  <c r="AO22" i="1"/>
  <c r="AJ22" i="1"/>
  <c r="AN22" i="1"/>
  <c r="AX23" i="1"/>
  <c r="AI22" i="1"/>
  <c r="AG22" i="1"/>
  <c r="AZ23" i="1"/>
  <c r="AP22" i="1"/>
  <c r="AK22" i="1"/>
  <c r="AF22" i="1"/>
  <c r="AU22" i="1"/>
  <c r="AS22" i="1"/>
  <c r="AE22" i="1"/>
  <c r="AD22" i="1"/>
  <c r="AV22" i="1"/>
  <c r="AT22" i="1"/>
  <c r="AL22" i="1"/>
  <c r="AS44" i="1" l="1"/>
  <c r="BF39" i="1"/>
  <c r="AS9" i="1"/>
  <c r="AX21" i="1"/>
  <c r="AS23" i="1" s="1"/>
  <c r="BF18" i="1" l="1"/>
</calcChain>
</file>

<file path=xl/sharedStrings.xml><?xml version="1.0" encoding="utf-8"?>
<sst xmlns="http://schemas.openxmlformats.org/spreadsheetml/2006/main" count="351" uniqueCount="70">
  <si>
    <t>A=</t>
  </si>
  <si>
    <t>C=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</si>
  <si>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</si>
  <si>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</si>
  <si>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</si>
  <si>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</si>
  <si>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</si>
  <si>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</si>
  <si>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</si>
  <si>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</si>
  <si>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</si>
  <si>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</si>
  <si>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</si>
  <si>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</si>
  <si>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A+C=</t>
  </si>
  <si>
    <t>A+C+C=</t>
  </si>
  <si>
    <t>=</t>
  </si>
  <si>
    <t>C-A=</t>
  </si>
  <si>
    <t>65536-X4=</t>
  </si>
  <si>
    <t>-X1=</t>
  </si>
  <si>
    <t>-X2=</t>
  </si>
  <si>
    <t>-X3=</t>
  </si>
  <si>
    <t>-X4=</t>
  </si>
  <si>
    <t>-X5=</t>
  </si>
  <si>
    <t>B1=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</si>
  <si>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</si>
  <si>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</si>
  <si>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</si>
  <si>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</si>
  <si>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</si>
  <si>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</si>
  <si>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</si>
  <si>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</si>
  <si>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</si>
  <si>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</si>
  <si>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</si>
  <si>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-B1=</t>
  </si>
  <si>
    <t>-B2=</t>
  </si>
  <si>
    <t>-B3=</t>
  </si>
  <si>
    <t>-B4=</t>
  </si>
  <si>
    <t>-B5=</t>
  </si>
  <si>
    <t>-B6=</t>
  </si>
  <si>
    <t>.</t>
  </si>
  <si>
    <t>+</t>
  </si>
  <si>
    <t>-----</t>
  </si>
  <si>
    <t>------</t>
  </si>
  <si>
    <t>-------------</t>
  </si>
  <si>
    <t>--</t>
  </si>
  <si>
    <r>
      <rPr>
        <sz val="6"/>
        <color theme="1"/>
        <rFont val="Calibri"/>
        <family val="2"/>
        <charset val="204"/>
        <scheme val="minor"/>
      </rPr>
      <t>(2)</t>
    </r>
    <r>
      <rPr>
        <sz val="11"/>
        <color theme="1"/>
        <rFont val="Calibri"/>
        <family val="2"/>
        <charset val="204"/>
        <scheme val="minor"/>
      </rPr>
      <t>=</t>
    </r>
  </si>
  <si>
    <r>
      <t>B1</t>
    </r>
    <r>
      <rPr>
        <sz val="6"/>
        <color theme="1"/>
        <rFont val="Calibri"/>
        <family val="2"/>
        <charset val="204"/>
        <scheme val="minor"/>
      </rPr>
      <t>(2)</t>
    </r>
  </si>
  <si>
    <r>
      <t>B2</t>
    </r>
    <r>
      <rPr>
        <sz val="6"/>
        <color theme="1"/>
        <rFont val="Calibri"/>
        <family val="2"/>
        <charset val="204"/>
        <scheme val="minor"/>
      </rPr>
      <t>(2)</t>
    </r>
  </si>
  <si>
    <t>(10)</t>
  </si>
  <si>
    <r>
      <t>X1</t>
    </r>
    <r>
      <rPr>
        <sz val="6"/>
        <color theme="1"/>
        <rFont val="Calibri"/>
        <family val="2"/>
        <charset val="204"/>
        <scheme val="minor"/>
      </rPr>
      <t>(2)</t>
    </r>
  </si>
  <si>
    <r>
      <t>X2</t>
    </r>
    <r>
      <rPr>
        <sz val="6"/>
        <color theme="1"/>
        <rFont val="Calibri"/>
        <family val="2"/>
        <charset val="204"/>
        <scheme val="minor"/>
      </rPr>
      <t>(2)</t>
    </r>
  </si>
  <si>
    <r>
      <t>B3</t>
    </r>
    <r>
      <rPr>
        <sz val="6"/>
        <color theme="1"/>
        <rFont val="Calibri"/>
        <family val="2"/>
        <charset val="204"/>
        <scheme val="minor"/>
      </rPr>
      <t>(2)</t>
    </r>
  </si>
  <si>
    <r>
      <t>X3</t>
    </r>
    <r>
      <rPr>
        <sz val="6"/>
        <color theme="1"/>
        <rFont val="Calibri"/>
        <family val="2"/>
        <charset val="204"/>
        <scheme val="minor"/>
      </rPr>
      <t>(2)</t>
    </r>
  </si>
  <si>
    <r>
      <t>B7</t>
    </r>
    <r>
      <rPr>
        <sz val="6"/>
        <color theme="1"/>
        <rFont val="Calibri"/>
        <family val="2"/>
        <charset val="204"/>
        <scheme val="minor"/>
      </rPr>
      <t>(2)</t>
    </r>
  </si>
  <si>
    <r>
      <t>X7</t>
    </r>
    <r>
      <rPr>
        <sz val="6"/>
        <color theme="1"/>
        <rFont val="Calibri"/>
        <family val="2"/>
        <charset val="204"/>
        <scheme val="minor"/>
      </rPr>
      <t>(2)</t>
    </r>
  </si>
  <si>
    <r>
      <t>B8</t>
    </r>
    <r>
      <rPr>
        <sz val="6"/>
        <color theme="1"/>
        <rFont val="Calibri"/>
        <family val="2"/>
        <charset val="204"/>
        <scheme val="minor"/>
      </rPr>
      <t>(2)</t>
    </r>
  </si>
  <si>
    <r>
      <t>X8</t>
    </r>
    <r>
      <rPr>
        <sz val="6"/>
        <color theme="1"/>
        <rFont val="Calibri"/>
        <family val="2"/>
        <charset val="204"/>
        <scheme val="minor"/>
      </rPr>
      <t>(2)</t>
    </r>
  </si>
  <si>
    <r>
      <t>B9</t>
    </r>
    <r>
      <rPr>
        <sz val="6"/>
        <color theme="1"/>
        <rFont val="Calibri"/>
        <family val="2"/>
        <charset val="204"/>
        <scheme val="minor"/>
      </rPr>
      <t>(2)</t>
    </r>
  </si>
  <si>
    <r>
      <t>X9</t>
    </r>
    <r>
      <rPr>
        <sz val="6"/>
        <color theme="1"/>
        <rFont val="Calibri"/>
        <family val="2"/>
        <charset val="204"/>
        <scheme val="minor"/>
      </rPr>
      <t>(2)</t>
    </r>
  </si>
  <si>
    <r>
      <t>B11</t>
    </r>
    <r>
      <rPr>
        <sz val="6"/>
        <color theme="1"/>
        <rFont val="Calibri"/>
        <family val="2"/>
        <charset val="204"/>
        <scheme val="minor"/>
      </rPr>
      <t>(2)</t>
    </r>
  </si>
  <si>
    <r>
      <t>X11</t>
    </r>
    <r>
      <rPr>
        <sz val="6"/>
        <color theme="1"/>
        <rFont val="Calibri"/>
        <family val="2"/>
        <charset val="204"/>
        <scheme val="minor"/>
      </rPr>
      <t>(2)</t>
    </r>
  </si>
  <si>
    <t>Результат корректный. Перенос из старшего разряда.</t>
  </si>
  <si>
    <t>При сложении отрицательных чисел получен положительный результат. Переполнение.</t>
  </si>
  <si>
    <t>При сложении положительных чисел получен отрицательный результат. Переполнение.</t>
  </si>
  <si>
    <t>Результат корректный.</t>
  </si>
  <si>
    <t>-X6=</t>
  </si>
  <si>
    <t>Доступный диапазон от         -32768 до +32767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</si>
</sst>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name val="Cascadia Code NF"/>
      <charset val="204"/>
    </font>
    <font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quotePrefix="1"/>
    <xf numFmtId="1" fontId="2" fillId="0" borderId="0" xfId="0" applyNumberFormat="1" applyFont="1" applyAlignment="1">
      <alignment vertical="center"/>
    </xf>
    <xf numFmtId="1" fontId="0" fillId="0" borderId="0" xfId="0" applyNumberFormat="1"/>
    <xf numFmtId="0" fontId="0" fillId="0" borderId="0" xfId="0" applyAlignment="1">
      <alignment horizontal="center" wrapText="1"/>
    </xf>
    <xf numFmtId="1" fontId="3" fillId="0" borderId="0" xfId="0" applyNumberFormat="1" applyFont="1" applyAlignment="1">
      <alignment vertical="center"/>
    </xf>
    <xf numFmtId="3" fontId="0" fillId="0" borderId="0" xfId="0" applyNumberFormat="1"/>
    <xf numFmtId="0" fontId="1" fillId="0" borderId="0" xfId="0" applyFont="1"/>
    <xf numFmtId="3" fontId="0" fillId="0" borderId="0" xfId="0" applyNumberFormat="1" applyAlignment="1"/>
    <xf numFmtId="0" fontId="0" fillId="0" borderId="0" xfId="0" quotePrefix="1" applyAlignment="1"/>
    <xf numFmtId="0" fontId="4" fillId="0" borderId="0" xfId="0" applyFont="1"/>
    <xf numFmtId="0" fontId="5" fillId="0" borderId="0" xfId="0" quotePrefix="1" applyFont="1" applyAlignment="1">
      <alignment horizontal="left"/>
    </xf>
    <xf numFmtId="3" fontId="0" fillId="0" borderId="0" xfId="0" quotePrefix="1" applyNumberFormat="1" applyAlignment="1">
      <alignment horizontal="right"/>
    </xf>
    <xf numFmtId="0" fontId="0" fillId="0" borderId="0" xfId="0" applyAlignment="1"/>
    <xf numFmtId="0" fontId="3" fillId="0" borderId="0" xfId="0" applyFont="1"/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Border="1"/>
    <xf numFmtId="0" fontId="0" fillId="0" borderId="0" xfId="0" quotePrefix="1" applyBorder="1" applyAlignment="1"/>
    <xf numFmtId="0" fontId="5" fillId="0" borderId="0" xfId="0" quotePrefix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B0E1-6ED3-4ECB-AE87-5EA8D6399FB6}">
  <dimension ref="A1:BV51"/>
  <sheetViews>
    <sheetView tabSelected="1" zoomScale="120" zoomScaleNormal="120" workbookViewId="0">
      <selection activeCell="A16" sqref="A16"/>
    </sheetView>
  </sheetViews>
  <sheetFormatPr defaultRowHeight="14.5" x14ac:dyDescent="0.35"/>
  <cols>
    <col min="1" max="1" width="5.08984375" customWidth="1"/>
    <col min="2" max="2" width="9.08984375" customWidth="1"/>
    <col min="4" max="4" width="3.6328125" customWidth="1"/>
    <col min="5" max="5" width="5.6328125" customWidth="1"/>
    <col min="6" max="6" width="4.54296875" customWidth="1"/>
    <col min="7" max="25" width="1.81640625" customWidth="1"/>
    <col min="26" max="26" width="8.7265625" customWidth="1"/>
    <col min="27" max="27" width="2.1796875" customWidth="1"/>
    <col min="28" max="28" width="4.36328125" customWidth="1"/>
    <col min="29" max="29" width="3.54296875" customWidth="1"/>
    <col min="30" max="48" width="1.81640625" customWidth="1"/>
    <col min="49" max="49" width="2.90625" bestFit="1" customWidth="1"/>
    <col min="50" max="50" width="7.08984375" bestFit="1" customWidth="1"/>
    <col min="51" max="51" width="2.26953125" customWidth="1"/>
    <col min="53" max="53" width="2.1796875" customWidth="1"/>
    <col min="54" max="55" width="4.36328125" customWidth="1"/>
    <col min="57" max="58" width="8.7265625" style="21"/>
  </cols>
  <sheetData>
    <row r="1" spans="1:74" ht="14.5" customHeight="1" x14ac:dyDescent="0.35">
      <c r="B1" s="1" t="s">
        <v>0</v>
      </c>
      <c r="C1">
        <v>1</v>
      </c>
      <c r="BJ1" s="10" t="s">
        <v>67</v>
      </c>
    </row>
    <row r="2" spans="1:74" ht="14.5" customHeight="1" x14ac:dyDescent="0.35">
      <c r="B2" s="1" t="s">
        <v>1</v>
      </c>
      <c r="C2">
        <v>-1</v>
      </c>
      <c r="BJ2" s="10" t="s">
        <v>66</v>
      </c>
    </row>
    <row r="3" spans="1:74" ht="14.5" customHeight="1" x14ac:dyDescent="0.35">
      <c r="B3" s="1"/>
      <c r="AA3" s="5"/>
      <c r="AC3" s="10">
        <f t="shared" ref="AC3:AO3" si="0">INT((AD5+AD4+AD3)/2)</f>
        <v>1</v>
      </c>
      <c r="AD3" s="10">
        <f t="shared" si="0"/>
        <v>1</v>
      </c>
      <c r="AE3" s="10">
        <f t="shared" si="0"/>
        <v>1</v>
      </c>
      <c r="AF3" s="10">
        <f t="shared" si="0"/>
        <v>1</v>
      </c>
      <c r="AG3" s="10">
        <f>INT((AI5+AI4+AI3)/2)</f>
        <v>1</v>
      </c>
      <c r="AH3" s="10"/>
      <c r="AI3" s="10">
        <f t="shared" si="0"/>
        <v>1</v>
      </c>
      <c r="AJ3" s="10">
        <f t="shared" si="0"/>
        <v>1</v>
      </c>
      <c r="AK3" s="10">
        <f t="shared" si="0"/>
        <v>1</v>
      </c>
      <c r="AL3" s="10">
        <f>INT((AN5+AN4+AN3)/2)</f>
        <v>1</v>
      </c>
      <c r="AM3" s="10"/>
      <c r="AN3" s="10">
        <f t="shared" si="0"/>
        <v>1</v>
      </c>
      <c r="AO3" s="10">
        <f t="shared" si="0"/>
        <v>1</v>
      </c>
      <c r="AP3" s="10">
        <f>INT((AQ5+AQ4+AQ3)/2)</f>
        <v>1</v>
      </c>
      <c r="AQ3" s="10">
        <f>INT((AS5+AS4+AS3)/2)</f>
        <v>1</v>
      </c>
      <c r="AR3" s="10"/>
      <c r="AS3" s="10">
        <f>INT((AT5+AT4+AT3)/2)</f>
        <v>1</v>
      </c>
      <c r="AT3" s="10">
        <f>INT((AU5+AU4+AU3)/2)</f>
        <v>1</v>
      </c>
      <c r="AU3" s="10">
        <f>INT((AV5+AV4)/2)</f>
        <v>1</v>
      </c>
      <c r="AV3" s="10"/>
      <c r="BJ3" s="10" t="s">
        <v>64</v>
      </c>
    </row>
    <row r="4" spans="1:74" ht="14.5" customHeight="1" x14ac:dyDescent="0.35">
      <c r="A4" s="1" t="s">
        <v>2</v>
      </c>
      <c r="B4" s="1" t="s">
        <v>0</v>
      </c>
      <c r="C4" s="3">
        <f>C1</f>
        <v>1</v>
      </c>
      <c r="E4" s="1" t="s">
        <v>24</v>
      </c>
      <c r="F4" s="8"/>
      <c r="G4" t="str">
        <f>MID($A22,COLUMN(G4)-COLUMN($F4),1)</f>
        <v>0</v>
      </c>
      <c r="H4" t="str">
        <f t="shared" ref="H4:J4" si="1">MID($A22,COLUMN(H4)-COLUMN($F4),1)</f>
        <v>0</v>
      </c>
      <c r="I4" t="str">
        <f t="shared" si="1"/>
        <v>0</v>
      </c>
      <c r="J4" t="str">
        <f t="shared" si="1"/>
        <v>0</v>
      </c>
      <c r="K4" t="s">
        <v>42</v>
      </c>
      <c r="L4" t="str">
        <f>MID($A22,COLUMN(L4)-COLUMN($F4)-1,1)</f>
        <v>0</v>
      </c>
      <c r="M4" t="str">
        <f t="shared" ref="M4:O4" si="2">MID($A22,COLUMN(M4)-COLUMN($F4)-1,1)</f>
        <v>0</v>
      </c>
      <c r="N4" t="str">
        <f t="shared" si="2"/>
        <v>0</v>
      </c>
      <c r="O4" t="str">
        <f t="shared" si="2"/>
        <v>0</v>
      </c>
      <c r="P4" t="s">
        <v>42</v>
      </c>
      <c r="Q4" t="str">
        <f>MID($A22,COLUMN(Q4)-COLUMN($F4)-2,1)</f>
        <v>0</v>
      </c>
      <c r="R4" t="str">
        <f t="shared" ref="R4:T4" si="3">MID($A22,COLUMN(R4)-COLUMN($F4)-2,1)</f>
        <v>0</v>
      </c>
      <c r="S4" t="str">
        <f t="shared" si="3"/>
        <v>0</v>
      </c>
      <c r="T4" t="str">
        <f t="shared" si="3"/>
        <v>0</v>
      </c>
      <c r="U4" t="s">
        <v>42</v>
      </c>
      <c r="V4" t="str">
        <f t="shared" ref="V4:Y4" si="4">MID($A22,COLUMN(V4)-COLUMN($F4)-3,1)</f>
        <v>0</v>
      </c>
      <c r="W4" t="str">
        <f t="shared" si="4"/>
        <v>0</v>
      </c>
      <c r="X4" t="str">
        <f t="shared" si="4"/>
        <v>0</v>
      </c>
      <c r="Y4" t="str">
        <f t="shared" si="4"/>
        <v>1</v>
      </c>
      <c r="Z4" s="5"/>
      <c r="AB4" s="11" t="s">
        <v>49</v>
      </c>
      <c r="AD4" s="19">
        <f>VALUE(G4)</f>
        <v>0</v>
      </c>
      <c r="AE4" s="19">
        <f t="shared" ref="AE4:AV5" si="5">VALUE(H4)</f>
        <v>0</v>
      </c>
      <c r="AF4" s="19">
        <f t="shared" si="5"/>
        <v>0</v>
      </c>
      <c r="AG4" s="19">
        <f t="shared" si="5"/>
        <v>0</v>
      </c>
      <c r="AH4" s="19" t="str">
        <f>K4</f>
        <v>.</v>
      </c>
      <c r="AI4" s="19">
        <f t="shared" si="5"/>
        <v>0</v>
      </c>
      <c r="AJ4" s="19">
        <f t="shared" si="5"/>
        <v>0</v>
      </c>
      <c r="AK4" s="19">
        <f t="shared" si="5"/>
        <v>0</v>
      </c>
      <c r="AL4" s="19">
        <f t="shared" si="5"/>
        <v>0</v>
      </c>
      <c r="AM4" s="19" t="str">
        <f>P4</f>
        <v>.</v>
      </c>
      <c r="AN4" s="19">
        <f t="shared" si="5"/>
        <v>0</v>
      </c>
      <c r="AO4" s="19">
        <f t="shared" si="5"/>
        <v>0</v>
      </c>
      <c r="AP4" s="19">
        <f t="shared" si="5"/>
        <v>0</v>
      </c>
      <c r="AQ4" s="19">
        <f t="shared" si="5"/>
        <v>0</v>
      </c>
      <c r="AR4" s="19" t="str">
        <f>U4</f>
        <v>.</v>
      </c>
      <c r="AS4" s="19">
        <f t="shared" si="5"/>
        <v>0</v>
      </c>
      <c r="AT4" s="19">
        <f t="shared" si="5"/>
        <v>0</v>
      </c>
      <c r="AU4" s="19">
        <f t="shared" si="5"/>
        <v>0</v>
      </c>
      <c r="AV4" s="19">
        <f t="shared" si="5"/>
        <v>1</v>
      </c>
      <c r="BB4" t="s">
        <v>52</v>
      </c>
      <c r="BD4" s="6">
        <f>C4</f>
        <v>1</v>
      </c>
      <c r="BF4" s="24" t="str">
        <f>IF(IF(AND(AD4=AD5, AD4&lt;&gt;AD7),1,0)=0,IF(AND(AX7=BD7,AC3=0),BJ$1,$BJ$3),IF(AD7=0,$BJ$4,$BJ$2))</f>
        <v>Результат корректный. Перенос из старшего разряда.</v>
      </c>
      <c r="BG4" s="24"/>
      <c r="BH4" s="24"/>
      <c r="BI4" s="24"/>
      <c r="BJ4" s="10" t="s">
        <v>65</v>
      </c>
    </row>
    <row r="5" spans="1:74" ht="14.5" customHeight="1" x14ac:dyDescent="0.35">
      <c r="A5" s="1" t="s">
        <v>3</v>
      </c>
      <c r="B5" s="1" t="s">
        <v>1</v>
      </c>
      <c r="C5" s="3">
        <f>C2</f>
        <v>-1</v>
      </c>
      <c r="E5" s="1" t="s">
        <v>25</v>
      </c>
      <c r="G5" t="str">
        <f t="shared" ref="G5:J5" si="6">MID($A23,COLUMN(G5)-COLUMN($F5),1)</f>
        <v>1</v>
      </c>
      <c r="H5" t="str">
        <f t="shared" si="6"/>
        <v>1</v>
      </c>
      <c r="I5" t="str">
        <f t="shared" si="6"/>
        <v>1</v>
      </c>
      <c r="J5" t="str">
        <f t="shared" si="6"/>
        <v>1</v>
      </c>
      <c r="K5" t="s">
        <v>42</v>
      </c>
      <c r="L5" t="str">
        <f t="shared" ref="L5:O5" si="7">MID($A23,COLUMN(L5)-COLUMN($F5)-1,1)</f>
        <v>1</v>
      </c>
      <c r="M5" t="str">
        <f t="shared" si="7"/>
        <v>1</v>
      </c>
      <c r="N5" t="str">
        <f t="shared" si="7"/>
        <v>1</v>
      </c>
      <c r="O5" t="str">
        <f t="shared" si="7"/>
        <v>1</v>
      </c>
      <c r="P5" t="s">
        <v>42</v>
      </c>
      <c r="Q5" t="str">
        <f t="shared" ref="Q5:T5" si="8">MID($A23,COLUMN(Q5)-COLUMN($F5)-2,1)</f>
        <v>1</v>
      </c>
      <c r="R5" t="str">
        <f t="shared" si="8"/>
        <v>1</v>
      </c>
      <c r="S5" t="str">
        <f t="shared" si="8"/>
        <v>1</v>
      </c>
      <c r="T5" t="str">
        <f t="shared" si="8"/>
        <v>1</v>
      </c>
      <c r="U5" t="s">
        <v>42</v>
      </c>
      <c r="V5" t="str">
        <f t="shared" ref="V5:Y5" si="9">MID($A23,COLUMN(V5)-COLUMN($F5)-3,1)</f>
        <v>1</v>
      </c>
      <c r="W5" t="str">
        <f t="shared" si="9"/>
        <v>1</v>
      </c>
      <c r="X5" t="str">
        <f t="shared" si="9"/>
        <v>1</v>
      </c>
      <c r="Y5" t="str">
        <f t="shared" si="9"/>
        <v>1</v>
      </c>
      <c r="Z5" s="5"/>
      <c r="AA5" s="1" t="s">
        <v>43</v>
      </c>
      <c r="AB5" s="11" t="s">
        <v>50</v>
      </c>
      <c r="AD5" s="19">
        <f>VALUE(G5)</f>
        <v>1</v>
      </c>
      <c r="AE5" s="19">
        <f t="shared" si="5"/>
        <v>1</v>
      </c>
      <c r="AF5" s="19">
        <f t="shared" si="5"/>
        <v>1</v>
      </c>
      <c r="AG5" s="19">
        <f t="shared" si="5"/>
        <v>1</v>
      </c>
      <c r="AH5" s="19" t="str">
        <f>K5</f>
        <v>.</v>
      </c>
      <c r="AI5" s="19">
        <f t="shared" si="5"/>
        <v>1</v>
      </c>
      <c r="AJ5" s="19">
        <f t="shared" si="5"/>
        <v>1</v>
      </c>
      <c r="AK5" s="19">
        <f t="shared" si="5"/>
        <v>1</v>
      </c>
      <c r="AL5" s="19">
        <f t="shared" si="5"/>
        <v>1</v>
      </c>
      <c r="AM5" s="19" t="str">
        <f>P5</f>
        <v>.</v>
      </c>
      <c r="AN5" s="19">
        <f t="shared" si="5"/>
        <v>1</v>
      </c>
      <c r="AO5" s="19">
        <f t="shared" si="5"/>
        <v>1</v>
      </c>
      <c r="AP5" s="19">
        <f t="shared" si="5"/>
        <v>1</v>
      </c>
      <c r="AQ5" s="19">
        <f t="shared" si="5"/>
        <v>1</v>
      </c>
      <c r="AR5" s="19" t="str">
        <f>U5</f>
        <v>.</v>
      </c>
      <c r="AS5" s="19">
        <f t="shared" si="5"/>
        <v>1</v>
      </c>
      <c r="AT5" s="19">
        <f t="shared" si="5"/>
        <v>1</v>
      </c>
      <c r="AU5" s="19">
        <f t="shared" si="5"/>
        <v>1</v>
      </c>
      <c r="AV5" s="19">
        <f t="shared" si="5"/>
        <v>1</v>
      </c>
      <c r="BA5" s="1" t="s">
        <v>43</v>
      </c>
      <c r="BB5" t="s">
        <v>53</v>
      </c>
      <c r="BD5" s="6">
        <f>C5</f>
        <v>-1</v>
      </c>
      <c r="BF5" s="24"/>
      <c r="BG5" s="24"/>
      <c r="BH5" s="24"/>
      <c r="BI5" s="24"/>
      <c r="BJ5" s="18"/>
    </row>
    <row r="6" spans="1:74" ht="14.5" customHeight="1" x14ac:dyDescent="0.35">
      <c r="A6" s="1" t="s">
        <v>4</v>
      </c>
      <c r="B6" s="1" t="s">
        <v>14</v>
      </c>
      <c r="C6" s="3">
        <f>C1+C2</f>
        <v>0</v>
      </c>
      <c r="E6" s="1" t="s">
        <v>26</v>
      </c>
      <c r="G6" t="str">
        <f t="shared" ref="G6:J6" si="10">MID($A24,COLUMN(G6)-COLUMN($F6),1)</f>
        <v>0</v>
      </c>
      <c r="H6" t="str">
        <f t="shared" si="10"/>
        <v>0</v>
      </c>
      <c r="I6" t="str">
        <f t="shared" si="10"/>
        <v>0</v>
      </c>
      <c r="J6" t="str">
        <f t="shared" si="10"/>
        <v>0</v>
      </c>
      <c r="K6" t="s">
        <v>42</v>
      </c>
      <c r="L6" t="str">
        <f t="shared" ref="L6:O6" si="11">MID($A24,COLUMN(L6)-COLUMN($F6)-1,1)</f>
        <v>0</v>
      </c>
      <c r="M6" t="str">
        <f t="shared" si="11"/>
        <v>0</v>
      </c>
      <c r="N6" t="str">
        <f t="shared" si="11"/>
        <v>0</v>
      </c>
      <c r="O6" t="str">
        <f t="shared" si="11"/>
        <v>0</v>
      </c>
      <c r="P6" t="s">
        <v>42</v>
      </c>
      <c r="Q6" t="str">
        <f t="shared" ref="Q6:T6" si="12">MID($A24,COLUMN(Q6)-COLUMN($F6)-2,1)</f>
        <v>0</v>
      </c>
      <c r="R6" t="str">
        <f t="shared" si="12"/>
        <v>0</v>
      </c>
      <c r="S6" t="str">
        <f t="shared" si="12"/>
        <v>0</v>
      </c>
      <c r="T6" t="str">
        <f t="shared" si="12"/>
        <v>0</v>
      </c>
      <c r="U6" t="s">
        <v>42</v>
      </c>
      <c r="V6" t="str">
        <f t="shared" ref="V6:Y6" si="13">MID($A24,COLUMN(V6)-COLUMN($F6)-3,1)</f>
        <v>0</v>
      </c>
      <c r="W6" t="str">
        <f t="shared" si="13"/>
        <v>0</v>
      </c>
      <c r="X6" t="str">
        <f t="shared" si="13"/>
        <v>0</v>
      </c>
      <c r="Y6" t="str">
        <f t="shared" si="13"/>
        <v>0</v>
      </c>
      <c r="Z6" s="1" t="s">
        <v>16</v>
      </c>
      <c r="AA6" s="9"/>
      <c r="AB6" s="12" t="s">
        <v>46</v>
      </c>
      <c r="AC6" s="12" t="s">
        <v>44</v>
      </c>
      <c r="AD6" s="12" t="s">
        <v>47</v>
      </c>
      <c r="AE6" s="12" t="s">
        <v>47</v>
      </c>
      <c r="AF6" s="12" t="s">
        <v>47</v>
      </c>
      <c r="AG6" s="12" t="s">
        <v>47</v>
      </c>
      <c r="AH6" s="12" t="s">
        <v>47</v>
      </c>
      <c r="AI6" s="12" t="s">
        <v>47</v>
      </c>
      <c r="AJ6" s="12" t="s">
        <v>47</v>
      </c>
      <c r="AK6" s="12" t="s">
        <v>47</v>
      </c>
      <c r="AL6" s="12" t="s">
        <v>47</v>
      </c>
      <c r="AM6" s="12" t="s">
        <v>47</v>
      </c>
      <c r="AN6" s="12" t="s">
        <v>47</v>
      </c>
      <c r="AO6" s="12" t="s">
        <v>47</v>
      </c>
      <c r="AP6" s="12" t="s">
        <v>47</v>
      </c>
      <c r="AQ6" s="12" t="s">
        <v>47</v>
      </c>
      <c r="AR6" s="12" t="s">
        <v>47</v>
      </c>
      <c r="AS6" s="12" t="s">
        <v>47</v>
      </c>
      <c r="AT6" s="12" t="s">
        <v>47</v>
      </c>
      <c r="AU6" s="12" t="s">
        <v>47</v>
      </c>
      <c r="AV6" s="12" t="s">
        <v>47</v>
      </c>
      <c r="AZ6" s="1" t="s">
        <v>16</v>
      </c>
      <c r="BA6" s="9"/>
      <c r="BB6" s="12" t="s">
        <v>45</v>
      </c>
      <c r="BC6" s="12" t="s">
        <v>45</v>
      </c>
      <c r="BD6" s="12" t="s">
        <v>46</v>
      </c>
      <c r="BE6" s="22"/>
      <c r="BF6" s="24"/>
      <c r="BG6" s="24"/>
      <c r="BH6" s="24"/>
      <c r="BI6" s="24"/>
      <c r="BJ6" s="18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</row>
    <row r="7" spans="1:74" ht="14.5" customHeight="1" x14ac:dyDescent="0.35">
      <c r="A7" s="1" t="s">
        <v>5</v>
      </c>
      <c r="B7" s="1" t="s">
        <v>15</v>
      </c>
      <c r="C7" s="3">
        <f>C1+C2+C2</f>
        <v>-1</v>
      </c>
      <c r="E7" s="1" t="s">
        <v>27</v>
      </c>
      <c r="G7" t="str">
        <f>MID($A25,COLUMN(G7)-COLUMN($F7),1)</f>
        <v>1</v>
      </c>
      <c r="H7" t="str">
        <f t="shared" ref="H7:J7" si="14">MID($A25,COLUMN(H7)-COLUMN($F7),1)</f>
        <v>1</v>
      </c>
      <c r="I7" t="str">
        <f t="shared" si="14"/>
        <v>1</v>
      </c>
      <c r="J7" t="str">
        <f t="shared" si="14"/>
        <v>1</v>
      </c>
      <c r="K7" t="s">
        <v>42</v>
      </c>
      <c r="L7" t="str">
        <f t="shared" ref="L7:O7" si="15">MID($A25,COLUMN(L7)-COLUMN($F7)-1,1)</f>
        <v>1</v>
      </c>
      <c r="M7" t="str">
        <f t="shared" si="15"/>
        <v>1</v>
      </c>
      <c r="N7" t="str">
        <f t="shared" si="15"/>
        <v>1</v>
      </c>
      <c r="O7" t="str">
        <f t="shared" si="15"/>
        <v>1</v>
      </c>
      <c r="P7" t="s">
        <v>42</v>
      </c>
      <c r="Q7" t="str">
        <f t="shared" ref="Q7:T7" si="16">MID($A25,COLUMN(Q7)-COLUMN($F7)-2,1)</f>
        <v>1</v>
      </c>
      <c r="R7" t="str">
        <f t="shared" si="16"/>
        <v>1</v>
      </c>
      <c r="S7" t="str">
        <f t="shared" si="16"/>
        <v>1</v>
      </c>
      <c r="T7" t="str">
        <f t="shared" si="16"/>
        <v>1</v>
      </c>
      <c r="U7" t="s">
        <v>42</v>
      </c>
      <c r="V7" t="str">
        <f t="shared" ref="V7:Y7" si="17">MID($A25,COLUMN(V7)-COLUMN($F7)-3,1)</f>
        <v>1</v>
      </c>
      <c r="W7" t="str">
        <f t="shared" si="17"/>
        <v>1</v>
      </c>
      <c r="X7" t="str">
        <f t="shared" si="17"/>
        <v>1</v>
      </c>
      <c r="Y7" t="str">
        <f t="shared" si="17"/>
        <v>1</v>
      </c>
      <c r="Z7" s="16"/>
      <c r="AA7" s="15"/>
      <c r="AD7" s="19">
        <f>MOD(AD4+AD5+AD3,2)</f>
        <v>0</v>
      </c>
      <c r="AE7" s="19">
        <f t="shared" ref="AE7:AQ7" si="18">MOD(AE4+AE5+AE3,2)</f>
        <v>0</v>
      </c>
      <c r="AF7" s="19">
        <f t="shared" si="18"/>
        <v>0</v>
      </c>
      <c r="AG7" s="19">
        <f t="shared" si="18"/>
        <v>0</v>
      </c>
      <c r="AH7" s="19" t="s">
        <v>42</v>
      </c>
      <c r="AI7" s="19">
        <f t="shared" si="18"/>
        <v>0</v>
      </c>
      <c r="AJ7" s="19">
        <f t="shared" si="18"/>
        <v>0</v>
      </c>
      <c r="AK7" s="19">
        <f t="shared" si="18"/>
        <v>0</v>
      </c>
      <c r="AL7" s="19">
        <f t="shared" si="18"/>
        <v>0</v>
      </c>
      <c r="AM7" s="19" t="s">
        <v>42</v>
      </c>
      <c r="AN7" s="19">
        <f t="shared" si="18"/>
        <v>0</v>
      </c>
      <c r="AO7" s="19">
        <f t="shared" si="18"/>
        <v>0</v>
      </c>
      <c r="AP7" s="19">
        <f t="shared" si="18"/>
        <v>0</v>
      </c>
      <c r="AQ7" s="19">
        <f t="shared" si="18"/>
        <v>0</v>
      </c>
      <c r="AR7" s="19" t="s">
        <v>42</v>
      </c>
      <c r="AS7" s="19">
        <f t="shared" ref="AS7:AT7" si="19">MOD(AS4+AS5+AS3,2)</f>
        <v>0</v>
      </c>
      <c r="AT7" s="19">
        <f t="shared" si="19"/>
        <v>0</v>
      </c>
      <c r="AU7" s="19">
        <f>MOD(AU4+AU5+AU3,2)</f>
        <v>0</v>
      </c>
      <c r="AV7" s="19">
        <f>MOD(AV4+AV5+AV3,2)</f>
        <v>0</v>
      </c>
      <c r="AW7" s="13" t="s">
        <v>48</v>
      </c>
      <c r="AX7" s="6">
        <f>IF($AD7=0,SUM(AD8:AV8),(SUM(AD8:AV8)+1)*-1)</f>
        <v>0</v>
      </c>
      <c r="AY7" s="14" t="s">
        <v>51</v>
      </c>
      <c r="BD7" s="6">
        <f>BD4+BD5</f>
        <v>0</v>
      </c>
      <c r="BE7" s="23" t="s">
        <v>51</v>
      </c>
      <c r="BF7" s="24"/>
      <c r="BG7" s="24"/>
      <c r="BH7" s="24"/>
      <c r="BI7" s="24"/>
      <c r="BJ7" s="18"/>
    </row>
    <row r="8" spans="1:74" ht="14.5" customHeight="1" x14ac:dyDescent="0.35">
      <c r="A8" s="1" t="s">
        <v>6</v>
      </c>
      <c r="B8" s="1" t="s">
        <v>17</v>
      </c>
      <c r="C8" s="3">
        <f>C2-C1</f>
        <v>-2</v>
      </c>
      <c r="E8" s="1" t="s">
        <v>28</v>
      </c>
      <c r="G8" t="str">
        <f t="shared" ref="G8:J8" si="20">MID($A26,COLUMN(G8)-COLUMN($F8),1)</f>
        <v>1</v>
      </c>
      <c r="H8" t="str">
        <f t="shared" si="20"/>
        <v>1</v>
      </c>
      <c r="I8" t="str">
        <f t="shared" si="20"/>
        <v>1</v>
      </c>
      <c r="J8" t="str">
        <f t="shared" si="20"/>
        <v>1</v>
      </c>
      <c r="K8" t="s">
        <v>42</v>
      </c>
      <c r="L8" t="str">
        <f t="shared" ref="L8:O8" si="21">MID($A26,COLUMN(L8)-COLUMN($F8)-1,1)</f>
        <v>1</v>
      </c>
      <c r="M8" t="str">
        <f t="shared" si="21"/>
        <v>1</v>
      </c>
      <c r="N8" t="str">
        <f t="shared" si="21"/>
        <v>1</v>
      </c>
      <c r="O8" t="str">
        <f t="shared" si="21"/>
        <v>1</v>
      </c>
      <c r="P8" t="s">
        <v>42</v>
      </c>
      <c r="Q8" t="str">
        <f t="shared" ref="Q8:T8" si="22">MID($A26,COLUMN(Q8)-COLUMN($F8)-2,1)</f>
        <v>1</v>
      </c>
      <c r="R8" t="str">
        <f t="shared" si="22"/>
        <v>1</v>
      </c>
      <c r="S8" t="str">
        <f t="shared" si="22"/>
        <v>1</v>
      </c>
      <c r="T8" t="str">
        <f t="shared" si="22"/>
        <v>1</v>
      </c>
      <c r="U8" t="s">
        <v>42</v>
      </c>
      <c r="V8" t="str">
        <f t="shared" ref="V8:Y8" si="23">MID($A26,COLUMN(V8)-COLUMN($F8)-3,1)</f>
        <v>1</v>
      </c>
      <c r="W8" t="str">
        <f t="shared" si="23"/>
        <v>1</v>
      </c>
      <c r="X8" t="str">
        <f t="shared" si="23"/>
        <v>1</v>
      </c>
      <c r="Y8" t="str">
        <f t="shared" si="23"/>
        <v>0</v>
      </c>
      <c r="AA8" s="9"/>
      <c r="AD8" s="10">
        <f t="shared" ref="AD8:AF8" si="24">IF($AD7=0,AD7*POWER(2,16-(COLUMN(AD8)-COLUMN($AC8)-0)),(1-AD7)*POWER(2,16-(COLUMN(AD8)-COLUMN($AC8)-0)))</f>
        <v>0</v>
      </c>
      <c r="AE8" s="10">
        <f t="shared" si="24"/>
        <v>0</v>
      </c>
      <c r="AF8" s="10">
        <f t="shared" si="24"/>
        <v>0</v>
      </c>
      <c r="AG8" s="10">
        <f>IF($AD7=0,AG7*POWER(2,16-(COLUMN(AG8)-COLUMN($AC8)-0)),(1-AG7)*POWER(2,16-(COLUMN(AG8)-COLUMN($AC8)-0)))</f>
        <v>0</v>
      </c>
      <c r="AH8" s="10"/>
      <c r="AI8" s="10">
        <f t="shared" ref="AI8:AK8" si="25">IF($AD7=0,AI7*POWER(2,16-(COLUMN(AI8)-COLUMN($AC8)-1)),(1-AI7)*POWER(2,16-(COLUMN(AI8)-COLUMN($AC8)-1)))</f>
        <v>0</v>
      </c>
      <c r="AJ8" s="10">
        <f t="shared" si="25"/>
        <v>0</v>
      </c>
      <c r="AK8" s="10">
        <f t="shared" si="25"/>
        <v>0</v>
      </c>
      <c r="AL8" s="10">
        <f>IF($AD7=0,AL7*POWER(2,16-(COLUMN(AL8)-COLUMN($AC8)-1)),(1-AL7)*POWER(2,16-(COLUMN(AL8)-COLUMN($AC8)-1)))</f>
        <v>0</v>
      </c>
      <c r="AM8" s="10"/>
      <c r="AN8" s="10">
        <f t="shared" ref="AN8:AP8" si="26">IF($AD7=0,AN7*POWER(2,16-(COLUMN(AN8)-COLUMN($AC8)-2)),(1-AN7)*POWER(2,16-(COLUMN(AN8)-COLUMN($AC8)-2)))</f>
        <v>0</v>
      </c>
      <c r="AO8" s="10">
        <f t="shared" si="26"/>
        <v>0</v>
      </c>
      <c r="AP8" s="10">
        <f t="shared" si="26"/>
        <v>0</v>
      </c>
      <c r="AQ8" s="10">
        <f>IF($AD7=0,AQ7*POWER(2,16-(COLUMN(AQ8)-COLUMN($AC8)-2)),(1-AQ7)*POWER(2,16-(COLUMN(AQ8)-COLUMN($AC8)-2)))</f>
        <v>0</v>
      </c>
      <c r="AR8" s="10"/>
      <c r="AS8" s="10">
        <f t="shared" ref="AS8:AU8" si="27">IF($AD7=0,AS7*POWER(2,16-(COLUMN(AS8)-COLUMN($AC8)-3)),(1-AS7)*POWER(2,16-(COLUMN(AS8)-COLUMN($AC8)-3)))</f>
        <v>0</v>
      </c>
      <c r="AT8" s="10">
        <f t="shared" si="27"/>
        <v>0</v>
      </c>
      <c r="AU8" s="10">
        <f t="shared" si="27"/>
        <v>0</v>
      </c>
      <c r="AV8" s="10">
        <f>IF($AD7=0,AV7*POWER(2,16-(COLUMN(AV8)-COLUMN($AC8)-3)),(1-AV7)*POWER(2,16-(COLUMN(AV8)-COLUMN($AC8)-3)))</f>
        <v>0</v>
      </c>
    </row>
    <row r="9" spans="1:74" ht="14.5" customHeight="1" x14ac:dyDescent="0.35">
      <c r="A9" s="1" t="s">
        <v>7</v>
      </c>
      <c r="B9" s="1" t="s">
        <v>18</v>
      </c>
      <c r="C9" s="3">
        <f>65536-C7</f>
        <v>65537</v>
      </c>
      <c r="E9" s="1" t="s">
        <v>29</v>
      </c>
      <c r="G9" t="str">
        <f>MID($A27,COLUMN(G9)-COLUMN($F9),1)</f>
        <v>0</v>
      </c>
      <c r="H9" t="str">
        <f t="shared" ref="H9:J9" si="28">MID($A27,COLUMN(H9)-COLUMN($F9),1)</f>
        <v>0</v>
      </c>
      <c r="I9" t="str">
        <f t="shared" si="28"/>
        <v>0</v>
      </c>
      <c r="J9" t="str">
        <f t="shared" si="28"/>
        <v>0</v>
      </c>
      <c r="K9" t="s">
        <v>42</v>
      </c>
      <c r="L9" t="str">
        <f t="shared" ref="L9:O9" si="29">MID($A27,COLUMN(L9)-COLUMN($F9)-1,1)</f>
        <v>0</v>
      </c>
      <c r="M9" t="str">
        <f t="shared" si="29"/>
        <v>0</v>
      </c>
      <c r="N9" t="str">
        <f t="shared" si="29"/>
        <v>0</v>
      </c>
      <c r="O9" t="str">
        <f t="shared" si="29"/>
        <v>0</v>
      </c>
      <c r="P9" t="s">
        <v>42</v>
      </c>
      <c r="Q9" t="str">
        <f t="shared" ref="Q9:T9" si="30">MID($A27,COLUMN(Q9)-COLUMN($F9)-2,1)</f>
        <v>0</v>
      </c>
      <c r="R9" t="str">
        <f t="shared" si="30"/>
        <v>0</v>
      </c>
      <c r="S9" t="str">
        <f t="shared" si="30"/>
        <v>0</v>
      </c>
      <c r="T9" t="str">
        <f t="shared" si="30"/>
        <v>0</v>
      </c>
      <c r="U9" t="s">
        <v>42</v>
      </c>
      <c r="V9" t="str">
        <f t="shared" ref="V9:Y9" si="31">MID($A27,COLUMN(V9)-COLUMN($F9)-3,1)</f>
        <v>0</v>
      </c>
      <c r="W9" t="str">
        <f t="shared" si="31"/>
        <v>0</v>
      </c>
      <c r="X9" t="str">
        <f t="shared" si="31"/>
        <v>0</v>
      </c>
      <c r="Y9" t="str">
        <f t="shared" si="31"/>
        <v>1</v>
      </c>
      <c r="AA9" s="9"/>
      <c r="AD9" s="25" t="str">
        <f>"CF="&amp;AC3</f>
        <v>CF=1</v>
      </c>
      <c r="AE9" s="25"/>
      <c r="AF9" s="25"/>
      <c r="AG9" s="25"/>
      <c r="AI9" s="25" t="str">
        <f>"PF="&amp;IF(MOD(COUNTIF(AN7:AV7,1),2)=0,1,0)</f>
        <v>PF=1</v>
      </c>
      <c r="AJ9" s="25"/>
      <c r="AK9" s="25"/>
      <c r="AL9" s="25"/>
      <c r="AN9" s="25" t="str">
        <f>"AF="&amp;IF(AS4+AS5&gt;=2,1,0)</f>
        <v>AF=0</v>
      </c>
      <c r="AO9" s="25"/>
      <c r="AP9" s="25"/>
      <c r="AQ9" s="25"/>
      <c r="AS9" s="25" t="str">
        <f>"ZF="&amp;IF(AX7=0,1,0)</f>
        <v>ZF=1</v>
      </c>
      <c r="AT9" s="25"/>
      <c r="AU9" s="25"/>
      <c r="AV9" s="25"/>
      <c r="AX9" t="str">
        <f>"SF="&amp;IF(AD7&lt;&gt;0,1,0)</f>
        <v>SF=0</v>
      </c>
      <c r="AZ9" t="str">
        <f>"OF="&amp;IF(AND(AD4=AD5, AD4&lt;&gt;AD7),1,0)</f>
        <v>OF=0</v>
      </c>
    </row>
    <row r="10" spans="1:74" ht="14.5" customHeight="1" x14ac:dyDescent="0.35">
      <c r="A10" s="1" t="s">
        <v>8</v>
      </c>
      <c r="B10" s="2" t="s">
        <v>19</v>
      </c>
      <c r="C10" s="3">
        <f>-C4</f>
        <v>-1</v>
      </c>
      <c r="E10" s="1" t="s">
        <v>30</v>
      </c>
      <c r="F10" s="4" t="s">
        <v>36</v>
      </c>
      <c r="G10" t="str">
        <f t="shared" ref="G10:J10" si="32">MID($A28,COLUMN(G10)-COLUMN($F10),1)</f>
        <v>1</v>
      </c>
      <c r="H10" t="str">
        <f t="shared" si="32"/>
        <v>1</v>
      </c>
      <c r="I10" t="str">
        <f t="shared" si="32"/>
        <v>1</v>
      </c>
      <c r="J10" t="str">
        <f t="shared" si="32"/>
        <v>1</v>
      </c>
      <c r="K10" t="s">
        <v>42</v>
      </c>
      <c r="L10" t="str">
        <f t="shared" ref="L10:O10" si="33">MID($A28,COLUMN(L10)-COLUMN($F10)-1,1)</f>
        <v>1</v>
      </c>
      <c r="M10" t="str">
        <f t="shared" si="33"/>
        <v>1</v>
      </c>
      <c r="N10" t="str">
        <f t="shared" si="33"/>
        <v>1</v>
      </c>
      <c r="O10" t="str">
        <f t="shared" si="33"/>
        <v>1</v>
      </c>
      <c r="P10" t="s">
        <v>42</v>
      </c>
      <c r="Q10" t="str">
        <f t="shared" ref="Q10:T10" si="34">MID($A28,COLUMN(Q10)-COLUMN($F10)-2,1)</f>
        <v>1</v>
      </c>
      <c r="R10" t="str">
        <f t="shared" si="34"/>
        <v>1</v>
      </c>
      <c r="S10" t="str">
        <f t="shared" si="34"/>
        <v>1</v>
      </c>
      <c r="T10" t="str">
        <f t="shared" si="34"/>
        <v>1</v>
      </c>
      <c r="U10" t="s">
        <v>42</v>
      </c>
      <c r="V10" t="str">
        <f t="shared" ref="V10:Y10" si="35">MID($A28,COLUMN(V10)-COLUMN($F10)-3,1)</f>
        <v>1</v>
      </c>
      <c r="W10" t="str">
        <f t="shared" si="35"/>
        <v>1</v>
      </c>
      <c r="X10" t="str">
        <f t="shared" si="35"/>
        <v>1</v>
      </c>
      <c r="Y10" t="str">
        <f t="shared" si="35"/>
        <v>1</v>
      </c>
      <c r="AA10" s="5"/>
      <c r="AC10" s="10">
        <f t="shared" ref="AC10:AF10" si="36">INT((AD12+AD11+AD10)/2)</f>
        <v>0</v>
      </c>
      <c r="AD10" s="10">
        <f t="shared" si="36"/>
        <v>0</v>
      </c>
      <c r="AE10" s="10">
        <f t="shared" si="36"/>
        <v>0</v>
      </c>
      <c r="AF10" s="10">
        <f t="shared" si="36"/>
        <v>0</v>
      </c>
      <c r="AG10" s="10">
        <f>INT((AI12+AI11+AI10)/2)</f>
        <v>0</v>
      </c>
      <c r="AH10" s="10"/>
      <c r="AI10" s="10">
        <f t="shared" ref="AI10:AK10" si="37">INT((AJ12+AJ11+AJ10)/2)</f>
        <v>0</v>
      </c>
      <c r="AJ10" s="10">
        <f t="shared" si="37"/>
        <v>0</v>
      </c>
      <c r="AK10" s="10">
        <f t="shared" si="37"/>
        <v>0</v>
      </c>
      <c r="AL10" s="10">
        <f>INT((AN12+AN11+AN10)/2)</f>
        <v>0</v>
      </c>
      <c r="AM10" s="10"/>
      <c r="AN10" s="10">
        <f t="shared" ref="AN10:AO10" si="38">INT((AO12+AO11+AO10)/2)</f>
        <v>0</v>
      </c>
      <c r="AO10" s="10">
        <f t="shared" si="38"/>
        <v>0</v>
      </c>
      <c r="AP10" s="10">
        <f>INT((AQ12+AQ11+AQ10)/2)</f>
        <v>0</v>
      </c>
      <c r="AQ10" s="10">
        <f>INT((AS12+AS11+AS10)/2)</f>
        <v>0</v>
      </c>
      <c r="AR10" s="10"/>
      <c r="AS10" s="10">
        <f>INT((AT12+AT11+AT10)/2)</f>
        <v>0</v>
      </c>
      <c r="AT10" s="10">
        <f>INT((AU12+AU11+AU10)/2)</f>
        <v>0</v>
      </c>
      <c r="AU10" s="10">
        <f>INT((AV12+AV11)/2)</f>
        <v>0</v>
      </c>
      <c r="AV10" s="10"/>
    </row>
    <row r="11" spans="1:74" ht="14.5" customHeight="1" x14ac:dyDescent="0.35">
      <c r="A11" s="1" t="s">
        <v>9</v>
      </c>
      <c r="B11" s="2" t="s">
        <v>20</v>
      </c>
      <c r="C11" s="3">
        <f>-C5</f>
        <v>1</v>
      </c>
      <c r="E11" s="1" t="s">
        <v>31</v>
      </c>
      <c r="F11" s="4" t="s">
        <v>37</v>
      </c>
      <c r="G11" t="str">
        <f t="shared" ref="G11:J11" si="39">MID($A29,COLUMN(G11)-COLUMN($F11),1)</f>
        <v>0</v>
      </c>
      <c r="H11" t="str">
        <f t="shared" si="39"/>
        <v>0</v>
      </c>
      <c r="I11" t="str">
        <f t="shared" si="39"/>
        <v>0</v>
      </c>
      <c r="J11" t="str">
        <f t="shared" si="39"/>
        <v>0</v>
      </c>
      <c r="K11" t="s">
        <v>42</v>
      </c>
      <c r="L11" t="str">
        <f t="shared" ref="L11:O11" si="40">MID($A29,COLUMN(L11)-COLUMN($F11)-1,1)</f>
        <v>0</v>
      </c>
      <c r="M11" t="str">
        <f t="shared" si="40"/>
        <v>0</v>
      </c>
      <c r="N11" t="str">
        <f t="shared" si="40"/>
        <v>0</v>
      </c>
      <c r="O11" t="str">
        <f t="shared" si="40"/>
        <v>0</v>
      </c>
      <c r="P11" t="s">
        <v>42</v>
      </c>
      <c r="Q11" t="str">
        <f t="shared" ref="Q11:T11" si="41">MID($A29,COLUMN(Q11)-COLUMN($F11)-2,1)</f>
        <v>0</v>
      </c>
      <c r="R11" t="str">
        <f t="shared" si="41"/>
        <v>0</v>
      </c>
      <c r="S11" t="str">
        <f t="shared" si="41"/>
        <v>0</v>
      </c>
      <c r="T11" t="str">
        <f t="shared" si="41"/>
        <v>0</v>
      </c>
      <c r="U11" t="s">
        <v>42</v>
      </c>
      <c r="V11" t="str">
        <f t="shared" ref="V11:Y11" si="42">MID($A29,COLUMN(V11)-COLUMN($F11)-3,1)</f>
        <v>0</v>
      </c>
      <c r="W11" t="str">
        <f t="shared" si="42"/>
        <v>0</v>
      </c>
      <c r="X11" t="str">
        <f t="shared" si="42"/>
        <v>0</v>
      </c>
      <c r="Y11" t="str">
        <f t="shared" si="42"/>
        <v>1</v>
      </c>
      <c r="Z11" s="5"/>
      <c r="AB11" s="11" t="s">
        <v>50</v>
      </c>
      <c r="AD11" s="19">
        <f>VALUE(G5)</f>
        <v>1</v>
      </c>
      <c r="AE11" s="19">
        <f t="shared" ref="AE11:AV11" si="43">VALUE(H5)</f>
        <v>1</v>
      </c>
      <c r="AF11" s="19">
        <f t="shared" si="43"/>
        <v>1</v>
      </c>
      <c r="AG11" s="19">
        <f t="shared" si="43"/>
        <v>1</v>
      </c>
      <c r="AH11" s="19" t="str">
        <f>(K5)</f>
        <v>.</v>
      </c>
      <c r="AI11" s="19">
        <f t="shared" si="43"/>
        <v>1</v>
      </c>
      <c r="AJ11" s="19">
        <f t="shared" si="43"/>
        <v>1</v>
      </c>
      <c r="AK11" s="19">
        <f t="shared" si="43"/>
        <v>1</v>
      </c>
      <c r="AL11" s="19">
        <f t="shared" si="43"/>
        <v>1</v>
      </c>
      <c r="AM11" s="19" t="str">
        <f>(P5)</f>
        <v>.</v>
      </c>
      <c r="AN11" s="19">
        <f t="shared" si="43"/>
        <v>1</v>
      </c>
      <c r="AO11" s="19">
        <f t="shared" si="43"/>
        <v>1</v>
      </c>
      <c r="AP11" s="19">
        <f t="shared" si="43"/>
        <v>1</v>
      </c>
      <c r="AQ11" s="19">
        <f t="shared" si="43"/>
        <v>1</v>
      </c>
      <c r="AR11" s="19" t="str">
        <f>(U5)</f>
        <v>.</v>
      </c>
      <c r="AS11" s="19">
        <f t="shared" si="43"/>
        <v>1</v>
      </c>
      <c r="AT11" s="19">
        <f t="shared" si="43"/>
        <v>1</v>
      </c>
      <c r="AU11" s="19">
        <f t="shared" si="43"/>
        <v>1</v>
      </c>
      <c r="AV11" s="19">
        <f t="shared" si="43"/>
        <v>1</v>
      </c>
      <c r="BB11" t="s">
        <v>53</v>
      </c>
      <c r="BD11" s="6">
        <f>C5</f>
        <v>-1</v>
      </c>
      <c r="BF11" s="24" t="str">
        <f>IF(IF(AND(AD11=AD12, AD11&lt;&gt;AD14),1,0)=0,IF(AND(AX14=BD14,AC10=0),BJ$1,$BJ$3),IF(AD14=0,$BJ$4,$BJ$2))</f>
        <v>Результат корректный.</v>
      </c>
      <c r="BG11" s="24"/>
      <c r="BH11" s="24"/>
      <c r="BI11" s="24"/>
      <c r="BJ11" s="18"/>
    </row>
    <row r="12" spans="1:74" ht="14.5" customHeight="1" x14ac:dyDescent="0.35">
      <c r="A12" s="1" t="s">
        <v>10</v>
      </c>
      <c r="B12" s="2" t="s">
        <v>21</v>
      </c>
      <c r="C12" s="3">
        <f t="shared" ref="C12:C15" si="44">-C6</f>
        <v>0</v>
      </c>
      <c r="E12" s="1" t="s">
        <v>32</v>
      </c>
      <c r="F12" s="4" t="s">
        <v>38</v>
      </c>
      <c r="G12" t="str">
        <f t="shared" ref="G12:J12" si="45">MID($A30,COLUMN(G12)-COLUMN($F12),1)</f>
        <v>0</v>
      </c>
      <c r="H12" t="str">
        <f t="shared" si="45"/>
        <v>0</v>
      </c>
      <c r="I12" t="str">
        <f t="shared" si="45"/>
        <v>0</v>
      </c>
      <c r="J12" t="str">
        <f t="shared" si="45"/>
        <v>0</v>
      </c>
      <c r="K12" t="s">
        <v>42</v>
      </c>
      <c r="L12" t="str">
        <f t="shared" ref="L12:O12" si="46">MID($A30,COLUMN(L12)-COLUMN($F12)-1,1)</f>
        <v>0</v>
      </c>
      <c r="M12" t="str">
        <f t="shared" si="46"/>
        <v>0</v>
      </c>
      <c r="N12" t="str">
        <f t="shared" si="46"/>
        <v>0</v>
      </c>
      <c r="O12" t="str">
        <f t="shared" si="46"/>
        <v>0</v>
      </c>
      <c r="P12" t="s">
        <v>42</v>
      </c>
      <c r="Q12" t="str">
        <f t="shared" ref="Q12:T12" si="47">MID($A30,COLUMN(Q12)-COLUMN($F12)-2,1)</f>
        <v>0</v>
      </c>
      <c r="R12" t="str">
        <f t="shared" si="47"/>
        <v>0</v>
      </c>
      <c r="S12" t="str">
        <f t="shared" si="47"/>
        <v>0</v>
      </c>
      <c r="T12" t="str">
        <f t="shared" si="47"/>
        <v>0</v>
      </c>
      <c r="U12" t="s">
        <v>42</v>
      </c>
      <c r="V12" t="str">
        <f t="shared" ref="V12:Y12" si="48">MID($A30,COLUMN(V12)-COLUMN($F12)-3,1)</f>
        <v>0</v>
      </c>
      <c r="W12" t="str">
        <f t="shared" si="48"/>
        <v>0</v>
      </c>
      <c r="X12" t="str">
        <f t="shared" si="48"/>
        <v>0</v>
      </c>
      <c r="Y12" t="str">
        <f t="shared" si="48"/>
        <v>0</v>
      </c>
      <c r="Z12" s="5"/>
      <c r="AA12" s="1" t="s">
        <v>43</v>
      </c>
      <c r="AB12" s="11" t="s">
        <v>54</v>
      </c>
      <c r="AD12" s="19">
        <f>VALUE(G6)</f>
        <v>0</v>
      </c>
      <c r="AE12" s="19">
        <f t="shared" ref="AE12" si="49">VALUE(H6)</f>
        <v>0</v>
      </c>
      <c r="AF12" s="19">
        <f t="shared" ref="AF12" si="50">VALUE(I6)</f>
        <v>0</v>
      </c>
      <c r="AG12" s="19">
        <f t="shared" ref="AG12" si="51">VALUE(J6)</f>
        <v>0</v>
      </c>
      <c r="AH12" s="19" t="str">
        <f>(K6)</f>
        <v>.</v>
      </c>
      <c r="AI12" s="19">
        <f t="shared" ref="AI12" si="52">VALUE(L6)</f>
        <v>0</v>
      </c>
      <c r="AJ12" s="19">
        <f t="shared" ref="AJ12" si="53">VALUE(M6)</f>
        <v>0</v>
      </c>
      <c r="AK12" s="19">
        <f t="shared" ref="AK12" si="54">VALUE(N6)</f>
        <v>0</v>
      </c>
      <c r="AL12" s="19">
        <f t="shared" ref="AL12" si="55">VALUE(O6)</f>
        <v>0</v>
      </c>
      <c r="AM12" s="19" t="str">
        <f>(P6)</f>
        <v>.</v>
      </c>
      <c r="AN12" s="19">
        <f t="shared" ref="AN12" si="56">VALUE(Q6)</f>
        <v>0</v>
      </c>
      <c r="AO12" s="19">
        <f t="shared" ref="AO12" si="57">VALUE(R6)</f>
        <v>0</v>
      </c>
      <c r="AP12" s="19">
        <f t="shared" ref="AP12" si="58">VALUE(S6)</f>
        <v>0</v>
      </c>
      <c r="AQ12" s="19">
        <f>VALUE(T6)</f>
        <v>0</v>
      </c>
      <c r="AR12" s="19" t="str">
        <f>(U6)</f>
        <v>.</v>
      </c>
      <c r="AS12" s="19">
        <f t="shared" ref="AS12" si="59">VALUE(V6)</f>
        <v>0</v>
      </c>
      <c r="AT12" s="19">
        <f t="shared" ref="AT12" si="60">VALUE(W6)</f>
        <v>0</v>
      </c>
      <c r="AU12" s="19">
        <f t="shared" ref="AU12" si="61">VALUE(X6)</f>
        <v>0</v>
      </c>
      <c r="AV12" s="19">
        <f t="shared" ref="AV12" si="62">VALUE(Y6)</f>
        <v>0</v>
      </c>
      <c r="BA12" s="1" t="s">
        <v>43</v>
      </c>
      <c r="BB12" t="s">
        <v>55</v>
      </c>
      <c r="BD12" s="6">
        <f>C6</f>
        <v>0</v>
      </c>
      <c r="BF12" s="24"/>
      <c r="BG12" s="24"/>
      <c r="BH12" s="24"/>
      <c r="BI12" s="24"/>
      <c r="BJ12" s="18"/>
    </row>
    <row r="13" spans="1:74" ht="14.5" customHeight="1" x14ac:dyDescent="0.35">
      <c r="A13" s="1" t="s">
        <v>11</v>
      </c>
      <c r="B13" s="2" t="s">
        <v>22</v>
      </c>
      <c r="C13" s="3">
        <f t="shared" si="44"/>
        <v>1</v>
      </c>
      <c r="E13" s="1" t="s">
        <v>33</v>
      </c>
      <c r="F13" s="4" t="s">
        <v>39</v>
      </c>
      <c r="G13" t="str">
        <f t="shared" ref="G13:J13" si="63">MID($A31,COLUMN(G13)-COLUMN($F13),1)</f>
        <v>0</v>
      </c>
      <c r="H13" t="str">
        <f t="shared" si="63"/>
        <v>0</v>
      </c>
      <c r="I13" t="str">
        <f t="shared" si="63"/>
        <v>0</v>
      </c>
      <c r="J13" t="str">
        <f t="shared" si="63"/>
        <v>0</v>
      </c>
      <c r="K13" t="s">
        <v>42</v>
      </c>
      <c r="L13" t="str">
        <f t="shared" ref="L13:O13" si="64">MID($A31,COLUMN(L13)-COLUMN($F13)-1,1)</f>
        <v>0</v>
      </c>
      <c r="M13" t="str">
        <f t="shared" si="64"/>
        <v>0</v>
      </c>
      <c r="N13" t="str">
        <f t="shared" si="64"/>
        <v>0</v>
      </c>
      <c r="O13" t="str">
        <f t="shared" si="64"/>
        <v>0</v>
      </c>
      <c r="P13" t="s">
        <v>42</v>
      </c>
      <c r="Q13" t="str">
        <f t="shared" ref="Q13:T13" si="65">MID($A31,COLUMN(Q13)-COLUMN($F13)-2,1)</f>
        <v>0</v>
      </c>
      <c r="R13" t="str">
        <f t="shared" si="65"/>
        <v>0</v>
      </c>
      <c r="S13" t="str">
        <f t="shared" si="65"/>
        <v>0</v>
      </c>
      <c r="T13" t="str">
        <f t="shared" si="65"/>
        <v>0</v>
      </c>
      <c r="U13" t="s">
        <v>42</v>
      </c>
      <c r="V13" t="str">
        <f t="shared" ref="V13:Y13" si="66">MID($A31,COLUMN(V13)-COLUMN($F13)-3,1)</f>
        <v>0</v>
      </c>
      <c r="W13" t="str">
        <f t="shared" si="66"/>
        <v>0</v>
      </c>
      <c r="X13" t="str">
        <f t="shared" si="66"/>
        <v>0</v>
      </c>
      <c r="Y13" t="str">
        <f t="shared" si="66"/>
        <v>1</v>
      </c>
      <c r="Z13" s="1" t="s">
        <v>16</v>
      </c>
      <c r="AA13" s="9"/>
      <c r="AB13" s="12" t="s">
        <v>46</v>
      </c>
      <c r="AC13" s="12" t="s">
        <v>44</v>
      </c>
      <c r="AD13" s="12" t="s">
        <v>47</v>
      </c>
      <c r="AE13" s="12" t="s">
        <v>47</v>
      </c>
      <c r="AF13" s="12" t="s">
        <v>47</v>
      </c>
      <c r="AG13" s="12" t="s">
        <v>47</v>
      </c>
      <c r="AH13" s="12" t="s">
        <v>47</v>
      </c>
      <c r="AI13" s="12" t="s">
        <v>47</v>
      </c>
      <c r="AJ13" s="12" t="s">
        <v>47</v>
      </c>
      <c r="AK13" s="12" t="s">
        <v>47</v>
      </c>
      <c r="AL13" s="12" t="s">
        <v>47</v>
      </c>
      <c r="AM13" s="12" t="s">
        <v>47</v>
      </c>
      <c r="AN13" s="12" t="s">
        <v>47</v>
      </c>
      <c r="AO13" s="12" t="s">
        <v>47</v>
      </c>
      <c r="AP13" s="12" t="s">
        <v>47</v>
      </c>
      <c r="AQ13" s="12" t="s">
        <v>47</v>
      </c>
      <c r="AR13" s="12" t="s">
        <v>47</v>
      </c>
      <c r="AS13" s="12" t="s">
        <v>47</v>
      </c>
      <c r="AT13" s="12" t="s">
        <v>47</v>
      </c>
      <c r="AU13" s="12" t="s">
        <v>47</v>
      </c>
      <c r="AV13" s="12" t="s">
        <v>47</v>
      </c>
      <c r="AZ13" s="1" t="s">
        <v>16</v>
      </c>
      <c r="BA13" s="9"/>
      <c r="BB13" s="12" t="s">
        <v>45</v>
      </c>
      <c r="BC13" s="12" t="s">
        <v>45</v>
      </c>
      <c r="BD13" s="12" t="s">
        <v>46</v>
      </c>
      <c r="BE13" s="22"/>
      <c r="BF13" s="24"/>
      <c r="BG13" s="24"/>
      <c r="BH13" s="24"/>
      <c r="BI13" s="24"/>
      <c r="BJ13" s="18"/>
    </row>
    <row r="14" spans="1:74" ht="14.5" customHeight="1" x14ac:dyDescent="0.35">
      <c r="A14" s="1" t="s">
        <v>12</v>
      </c>
      <c r="B14" s="2" t="s">
        <v>23</v>
      </c>
      <c r="C14" s="3">
        <f t="shared" si="44"/>
        <v>2</v>
      </c>
      <c r="E14" s="1" t="s">
        <v>34</v>
      </c>
      <c r="F14" s="4" t="s">
        <v>40</v>
      </c>
      <c r="G14" t="str">
        <f t="shared" ref="G14:J14" si="67">MID($A32,COLUMN(G14)-COLUMN($F14),1)</f>
        <v>0</v>
      </c>
      <c r="H14" t="str">
        <f t="shared" si="67"/>
        <v>0</v>
      </c>
      <c r="I14" t="str">
        <f t="shared" si="67"/>
        <v>0</v>
      </c>
      <c r="J14" t="str">
        <f t="shared" si="67"/>
        <v>0</v>
      </c>
      <c r="K14" t="s">
        <v>42</v>
      </c>
      <c r="L14" t="str">
        <f t="shared" ref="L14:O14" si="68">MID($A32,COLUMN(L14)-COLUMN($F14)-1,1)</f>
        <v>0</v>
      </c>
      <c r="M14" t="str">
        <f t="shared" si="68"/>
        <v>0</v>
      </c>
      <c r="N14" t="str">
        <f t="shared" si="68"/>
        <v>0</v>
      </c>
      <c r="O14" t="str">
        <f t="shared" si="68"/>
        <v>0</v>
      </c>
      <c r="P14" t="s">
        <v>42</v>
      </c>
      <c r="Q14" t="str">
        <f t="shared" ref="Q14:T14" si="69">MID($A32,COLUMN(Q14)-COLUMN($F14)-2,1)</f>
        <v>0</v>
      </c>
      <c r="R14" t="str">
        <f t="shared" si="69"/>
        <v>0</v>
      </c>
      <c r="S14" t="str">
        <f t="shared" si="69"/>
        <v>0</v>
      </c>
      <c r="T14" t="str">
        <f t="shared" si="69"/>
        <v>0</v>
      </c>
      <c r="U14" t="s">
        <v>42</v>
      </c>
      <c r="V14" t="str">
        <f t="shared" ref="V14:Y14" si="70">MID($A32,COLUMN(V14)-COLUMN($F14)-3,1)</f>
        <v>0</v>
      </c>
      <c r="W14" t="str">
        <f t="shared" si="70"/>
        <v>0</v>
      </c>
      <c r="X14" t="str">
        <f t="shared" si="70"/>
        <v>1</v>
      </c>
      <c r="Y14" t="str">
        <f t="shared" si="70"/>
        <v>0</v>
      </c>
      <c r="Z14" s="16"/>
      <c r="AA14" s="15"/>
      <c r="AD14" s="19">
        <f t="shared" ref="AD14:AG14" si="71">MOD(AD11+AD12+AD10,2)</f>
        <v>1</v>
      </c>
      <c r="AE14" s="19">
        <f t="shared" si="71"/>
        <v>1</v>
      </c>
      <c r="AF14" s="19">
        <f t="shared" si="71"/>
        <v>1</v>
      </c>
      <c r="AG14" s="19">
        <f t="shared" si="71"/>
        <v>1</v>
      </c>
      <c r="AH14" s="19" t="s">
        <v>42</v>
      </c>
      <c r="AI14" s="19">
        <f t="shared" ref="AI14:AL14" si="72">MOD(AI11+AI12+AI10,2)</f>
        <v>1</v>
      </c>
      <c r="AJ14" s="19">
        <f t="shared" si="72"/>
        <v>1</v>
      </c>
      <c r="AK14" s="19">
        <f t="shared" si="72"/>
        <v>1</v>
      </c>
      <c r="AL14" s="19">
        <f t="shared" si="72"/>
        <v>1</v>
      </c>
      <c r="AM14" s="19" t="s">
        <v>42</v>
      </c>
      <c r="AN14" s="19">
        <f t="shared" ref="AN14:AQ14" si="73">MOD(AN11+AN12+AN10,2)</f>
        <v>1</v>
      </c>
      <c r="AO14" s="19">
        <f t="shared" si="73"/>
        <v>1</v>
      </c>
      <c r="AP14" s="19">
        <f t="shared" si="73"/>
        <v>1</v>
      </c>
      <c r="AQ14" s="19">
        <f t="shared" si="73"/>
        <v>1</v>
      </c>
      <c r="AR14" s="19" t="s">
        <v>42</v>
      </c>
      <c r="AS14" s="19">
        <f t="shared" ref="AS14:AT14" si="74">MOD(AS11+AS12+AS10,2)</f>
        <v>1</v>
      </c>
      <c r="AT14" s="19">
        <f t="shared" si="74"/>
        <v>1</v>
      </c>
      <c r="AU14" s="19">
        <f>MOD(AU11+AU12+AU10,2)</f>
        <v>1</v>
      </c>
      <c r="AV14" s="19">
        <f>MOD(AV11+AV12+AV10,2)</f>
        <v>1</v>
      </c>
      <c r="AW14" s="13" t="s">
        <v>48</v>
      </c>
      <c r="AX14" s="6">
        <f>IF($AD14=0,SUM(AD15:AV15),(SUM(AD15:AV15)+1)*-1)</f>
        <v>-1</v>
      </c>
      <c r="AY14" s="14" t="s">
        <v>51</v>
      </c>
      <c r="BD14" s="6">
        <f>BD11+BD12</f>
        <v>-1</v>
      </c>
      <c r="BE14" s="23" t="s">
        <v>51</v>
      </c>
      <c r="BF14" s="24"/>
      <c r="BG14" s="24"/>
      <c r="BH14" s="24"/>
      <c r="BI14" s="24"/>
      <c r="BJ14" s="18"/>
    </row>
    <row r="15" spans="1:74" ht="14.5" customHeight="1" x14ac:dyDescent="0.35">
      <c r="A15" s="1" t="s">
        <v>13</v>
      </c>
      <c r="B15" s="2" t="s">
        <v>68</v>
      </c>
      <c r="C15" s="3">
        <f t="shared" si="44"/>
        <v>-65537</v>
      </c>
      <c r="E15" s="1" t="s">
        <v>35</v>
      </c>
      <c r="F15" s="4" t="s">
        <v>41</v>
      </c>
      <c r="G15" t="str">
        <f>MID($A33,COLUMN(G15)-COLUMN($F15),1)</f>
        <v>1</v>
      </c>
      <c r="H15" t="str">
        <f t="shared" ref="H15:J15" si="75">MID($A33,COLUMN(H15)-COLUMN($F15),1)</f>
        <v>1</v>
      </c>
      <c r="I15" t="str">
        <f t="shared" si="75"/>
        <v>1</v>
      </c>
      <c r="J15" t="str">
        <f t="shared" si="75"/>
        <v>1</v>
      </c>
      <c r="K15" t="s">
        <v>42</v>
      </c>
      <c r="L15" t="str">
        <f t="shared" ref="L15:O15" si="76">MID($A33,COLUMN(L15)-COLUMN($F15)-1,1)</f>
        <v>1</v>
      </c>
      <c r="M15" t="str">
        <f t="shared" si="76"/>
        <v>1</v>
      </c>
      <c r="N15" t="str">
        <f t="shared" si="76"/>
        <v>1</v>
      </c>
      <c r="O15" t="str">
        <f t="shared" si="76"/>
        <v>1</v>
      </c>
      <c r="P15" t="s">
        <v>42</v>
      </c>
      <c r="Q15" t="str">
        <f t="shared" ref="Q15:T15" si="77">MID($A33,COLUMN(Q15)-COLUMN($F15)-2,1)</f>
        <v>1</v>
      </c>
      <c r="R15" t="str">
        <f t="shared" si="77"/>
        <v>1</v>
      </c>
      <c r="S15" t="str">
        <f t="shared" si="77"/>
        <v>1</v>
      </c>
      <c r="T15" t="str">
        <f t="shared" si="77"/>
        <v>1</v>
      </c>
      <c r="U15" t="s">
        <v>42</v>
      </c>
      <c r="V15" t="str">
        <f t="shared" ref="V15:Y15" si="78">MID($A33,COLUMN(V15)-COLUMN($F15)-3,1)</f>
        <v>1</v>
      </c>
      <c r="W15" t="str">
        <f t="shared" si="78"/>
        <v>1</v>
      </c>
      <c r="X15" t="str">
        <f t="shared" si="78"/>
        <v>1</v>
      </c>
      <c r="Y15" t="str">
        <f t="shared" si="78"/>
        <v>1</v>
      </c>
      <c r="AA15" s="9"/>
      <c r="AD15" s="10">
        <f t="shared" ref="AD15" si="79">IF($AD14=0,AD14*POWER(2,16-(COLUMN(AD15)-COLUMN($AC15)-0)),(1-AD14)*POWER(2,16-(COLUMN(AD15)-COLUMN($AC15)-0)))</f>
        <v>0</v>
      </c>
      <c r="AE15" s="10">
        <f t="shared" ref="AE15" si="80">IF($AD14=0,AE14*POWER(2,16-(COLUMN(AE15)-COLUMN($AC15)-0)),(1-AE14)*POWER(2,16-(COLUMN(AE15)-COLUMN($AC15)-0)))</f>
        <v>0</v>
      </c>
      <c r="AF15" s="10">
        <f t="shared" ref="AF15" si="81">IF($AD14=0,AF14*POWER(2,16-(COLUMN(AF15)-COLUMN($AC15)-0)),(1-AF14)*POWER(2,16-(COLUMN(AF15)-COLUMN($AC15)-0)))</f>
        <v>0</v>
      </c>
      <c r="AG15" s="10">
        <f>IF($AD14=0,AG14*POWER(2,16-(COLUMN(AG15)-COLUMN($AC15)-0)),(1-AG14)*POWER(2,16-(COLUMN(AG15)-COLUMN($AC15)-0)))</f>
        <v>0</v>
      </c>
      <c r="AH15" s="10"/>
      <c r="AI15" s="10">
        <f t="shared" ref="AI15" si="82">IF($AD14=0,AI14*POWER(2,16-(COLUMN(AI15)-COLUMN($AC15)-1)),(1-AI14)*POWER(2,16-(COLUMN(AI15)-COLUMN($AC15)-1)))</f>
        <v>0</v>
      </c>
      <c r="AJ15" s="10">
        <f t="shared" ref="AJ15" si="83">IF($AD14=0,AJ14*POWER(2,16-(COLUMN(AJ15)-COLUMN($AC15)-1)),(1-AJ14)*POWER(2,16-(COLUMN(AJ15)-COLUMN($AC15)-1)))</f>
        <v>0</v>
      </c>
      <c r="AK15" s="10">
        <f t="shared" ref="AK15" si="84">IF($AD14=0,AK14*POWER(2,16-(COLUMN(AK15)-COLUMN($AC15)-1)),(1-AK14)*POWER(2,16-(COLUMN(AK15)-COLUMN($AC15)-1)))</f>
        <v>0</v>
      </c>
      <c r="AL15" s="10">
        <f>IF($AD14=0,AL14*POWER(2,16-(COLUMN(AL15)-COLUMN($AC15)-1)),(1-AL14)*POWER(2,16-(COLUMN(AL15)-COLUMN($AC15)-1)))</f>
        <v>0</v>
      </c>
      <c r="AM15" s="10"/>
      <c r="AN15" s="10">
        <f t="shared" ref="AN15" si="85">IF($AD14=0,AN14*POWER(2,16-(COLUMN(AN15)-COLUMN($AC15)-2)),(1-AN14)*POWER(2,16-(COLUMN(AN15)-COLUMN($AC15)-2)))</f>
        <v>0</v>
      </c>
      <c r="AO15" s="10">
        <f t="shared" ref="AO15" si="86">IF($AD14=0,AO14*POWER(2,16-(COLUMN(AO15)-COLUMN($AC15)-2)),(1-AO14)*POWER(2,16-(COLUMN(AO15)-COLUMN($AC15)-2)))</f>
        <v>0</v>
      </c>
      <c r="AP15" s="10">
        <f t="shared" ref="AP15" si="87">IF($AD14=0,AP14*POWER(2,16-(COLUMN(AP15)-COLUMN($AC15)-2)),(1-AP14)*POWER(2,16-(COLUMN(AP15)-COLUMN($AC15)-2)))</f>
        <v>0</v>
      </c>
      <c r="AQ15" s="10">
        <f>IF($AD14=0,AQ14*POWER(2,16-(COLUMN(AQ15)-COLUMN($AC15)-2)),(1-AQ14)*POWER(2,16-(COLUMN(AQ15)-COLUMN($AC15)-2)))</f>
        <v>0</v>
      </c>
      <c r="AR15" s="10"/>
      <c r="AS15" s="10">
        <f t="shared" ref="AS15" si="88">IF($AD14=0,AS14*POWER(2,16-(COLUMN(AS15)-COLUMN($AC15)-3)),(1-AS14)*POWER(2,16-(COLUMN(AS15)-COLUMN($AC15)-3)))</f>
        <v>0</v>
      </c>
      <c r="AT15" s="10">
        <f t="shared" ref="AT15" si="89">IF($AD14=0,AT14*POWER(2,16-(COLUMN(AT15)-COLUMN($AC15)-3)),(1-AT14)*POWER(2,16-(COLUMN(AT15)-COLUMN($AC15)-3)))</f>
        <v>0</v>
      </c>
      <c r="AU15" s="10">
        <f t="shared" ref="AU15" si="90">IF($AD14=0,AU14*POWER(2,16-(COLUMN(AU15)-COLUMN($AC15)-3)),(1-AU14)*POWER(2,16-(COLUMN(AU15)-COLUMN($AC15)-3)))</f>
        <v>0</v>
      </c>
      <c r="AV15" s="10">
        <f>IF($AD14=0,AV14*POWER(2,16-(COLUMN(AV15)-COLUMN($AC15)-3)),(1-AV14)*POWER(2,16-(COLUMN(AV15)-COLUMN($AC15)-3)))</f>
        <v>0</v>
      </c>
    </row>
    <row r="16" spans="1:74" ht="14.5" customHeight="1" x14ac:dyDescent="0.35">
      <c r="A16" s="1"/>
      <c r="AA16" s="9"/>
      <c r="AD16" s="25" t="str">
        <f>"CF="&amp;AC10</f>
        <v>CF=0</v>
      </c>
      <c r="AE16" s="25"/>
      <c r="AF16" s="25"/>
      <c r="AG16" s="25"/>
      <c r="AI16" s="25" t="str">
        <f>"PF="&amp;IF(MOD(COUNTIF(AN14:AV14,1),2)=0,1,0)</f>
        <v>PF=1</v>
      </c>
      <c r="AJ16" s="25"/>
      <c r="AK16" s="25"/>
      <c r="AL16" s="25"/>
      <c r="AN16" s="25" t="str">
        <f>"AF="&amp;IF(AS11+AS12+AS10&gt;=2,1,0)</f>
        <v>AF=0</v>
      </c>
      <c r="AO16" s="25"/>
      <c r="AP16" s="25"/>
      <c r="AQ16" s="25"/>
      <c r="AS16" s="25" t="str">
        <f>"ZF="&amp;IF(AX14=0,1,0)</f>
        <v>ZF=0</v>
      </c>
      <c r="AT16" s="25"/>
      <c r="AU16" s="25"/>
      <c r="AV16" s="25"/>
      <c r="AX16" t="str">
        <f>"SF="&amp;IF(AD14&lt;&gt;0,1,0)</f>
        <v>SF=1</v>
      </c>
      <c r="AZ16" t="str">
        <f>"OF="&amp;IF(AND(AD11=AD12, AD11&lt;&gt;AD14),1,0)</f>
        <v>OF=0</v>
      </c>
    </row>
    <row r="17" spans="1:61" ht="14.5" customHeight="1" x14ac:dyDescent="0.35">
      <c r="A17" s="26" t="s">
        <v>69</v>
      </c>
      <c r="B17" s="26"/>
      <c r="C17" s="7"/>
      <c r="AA17" s="5"/>
      <c r="AC17" s="10">
        <f t="shared" ref="AC17:AF17" si="91">INT((AD19+AD18+AD17)/2)</f>
        <v>1</v>
      </c>
      <c r="AD17" s="10">
        <f t="shared" si="91"/>
        <v>1</v>
      </c>
      <c r="AE17" s="10">
        <f t="shared" si="91"/>
        <v>1</v>
      </c>
      <c r="AF17" s="10">
        <f t="shared" si="91"/>
        <v>1</v>
      </c>
      <c r="AG17" s="10">
        <f>INT((AI19+AI18+AI17)/2)</f>
        <v>1</v>
      </c>
      <c r="AH17" s="10"/>
      <c r="AI17" s="10">
        <f t="shared" ref="AI17:AK17" si="92">INT((AJ19+AJ18+AJ17)/2)</f>
        <v>1</v>
      </c>
      <c r="AJ17" s="10">
        <f t="shared" si="92"/>
        <v>1</v>
      </c>
      <c r="AK17" s="10">
        <f t="shared" si="92"/>
        <v>1</v>
      </c>
      <c r="AL17" s="10">
        <f>INT((AN19+AN18+AN17)/2)</f>
        <v>1</v>
      </c>
      <c r="AM17" s="10"/>
      <c r="AN17" s="10">
        <f t="shared" ref="AN17:AO17" si="93">INT((AO19+AO18+AO17)/2)</f>
        <v>1</v>
      </c>
      <c r="AO17" s="10">
        <f t="shared" si="93"/>
        <v>1</v>
      </c>
      <c r="AP17" s="10">
        <f>INT((AQ19+AQ18+AQ17)/2)</f>
        <v>1</v>
      </c>
      <c r="AQ17" s="10">
        <f>INT((AS19+AS18+AS17)/2)</f>
        <v>1</v>
      </c>
      <c r="AR17" s="10"/>
      <c r="AS17" s="10">
        <f>INT((AT19+AT18+AT17)/2)</f>
        <v>1</v>
      </c>
      <c r="AT17" s="10">
        <f>INT((AU19+AU18+AU17)/2)</f>
        <v>1</v>
      </c>
      <c r="AU17" s="10">
        <f>INT((AV19+AV18)/2)</f>
        <v>1</v>
      </c>
      <c r="AV17" s="10"/>
    </row>
    <row r="18" spans="1:61" ht="14.5" customHeight="1" x14ac:dyDescent="0.35">
      <c r="A18" s="26"/>
      <c r="B18" s="26"/>
      <c r="C18" s="7"/>
      <c r="Z18" s="5"/>
      <c r="AB18" s="11" t="s">
        <v>50</v>
      </c>
      <c r="AD18" s="19">
        <f>VALUE(G5)</f>
        <v>1</v>
      </c>
      <c r="AE18" s="19">
        <f t="shared" ref="AE18:AV18" si="94">VALUE(H5)</f>
        <v>1</v>
      </c>
      <c r="AF18" s="19">
        <f t="shared" si="94"/>
        <v>1</v>
      </c>
      <c r="AG18" s="19">
        <f t="shared" si="94"/>
        <v>1</v>
      </c>
      <c r="AH18" s="19" t="str">
        <f>(K5)</f>
        <v>.</v>
      </c>
      <c r="AI18" s="19">
        <f t="shared" si="94"/>
        <v>1</v>
      </c>
      <c r="AJ18" s="19">
        <f t="shared" si="94"/>
        <v>1</v>
      </c>
      <c r="AK18" s="19">
        <f t="shared" si="94"/>
        <v>1</v>
      </c>
      <c r="AL18" s="19">
        <f t="shared" si="94"/>
        <v>1</v>
      </c>
      <c r="AM18" s="19" t="str">
        <f>(P5)</f>
        <v>.</v>
      </c>
      <c r="AN18" s="19">
        <f t="shared" si="94"/>
        <v>1</v>
      </c>
      <c r="AO18" s="19">
        <f t="shared" si="94"/>
        <v>1</v>
      </c>
      <c r="AP18" s="19">
        <f t="shared" si="94"/>
        <v>1</v>
      </c>
      <c r="AQ18" s="19">
        <f t="shared" si="94"/>
        <v>1</v>
      </c>
      <c r="AR18" s="19" t="str">
        <f>(U5)</f>
        <v>.</v>
      </c>
      <c r="AS18" s="19">
        <f t="shared" si="94"/>
        <v>1</v>
      </c>
      <c r="AT18" s="19">
        <f t="shared" si="94"/>
        <v>1</v>
      </c>
      <c r="AU18" s="19">
        <f t="shared" si="94"/>
        <v>1</v>
      </c>
      <c r="AV18" s="19">
        <f t="shared" si="94"/>
        <v>1</v>
      </c>
      <c r="BB18" t="s">
        <v>53</v>
      </c>
      <c r="BD18" s="6">
        <f>C5</f>
        <v>-1</v>
      </c>
      <c r="BF18" s="24" t="str">
        <f>IF(IF(AND(AD18=AD19, AD18&lt;&gt;AD21),1,0)=0,IF(AND(AX21=BD21,AC17=0),BJ$1,$BJ$3),IF(AD21=0,$BJ$4,$BJ$2))</f>
        <v>Результат корректный. Перенос из старшего разряда.</v>
      </c>
      <c r="BG18" s="24"/>
      <c r="BH18" s="24"/>
      <c r="BI18" s="24"/>
    </row>
    <row r="19" spans="1:61" ht="14.5" customHeight="1" x14ac:dyDescent="0.35">
      <c r="A19" s="26"/>
      <c r="B19" s="26"/>
      <c r="C19" s="7"/>
      <c r="Z19" s="5"/>
      <c r="AA19" s="1" t="s">
        <v>43</v>
      </c>
      <c r="AB19" s="11" t="s">
        <v>56</v>
      </c>
      <c r="AD19" s="19">
        <f>VALUE(G10)</f>
        <v>1</v>
      </c>
      <c r="AE19" s="19">
        <f t="shared" ref="AE19:AV19" si="95">VALUE(H10)</f>
        <v>1</v>
      </c>
      <c r="AF19" s="19">
        <f t="shared" si="95"/>
        <v>1</v>
      </c>
      <c r="AG19" s="19">
        <f t="shared" si="95"/>
        <v>1</v>
      </c>
      <c r="AH19" s="19" t="str">
        <f>(K10)</f>
        <v>.</v>
      </c>
      <c r="AI19" s="19">
        <f t="shared" si="95"/>
        <v>1</v>
      </c>
      <c r="AJ19" s="19">
        <f t="shared" si="95"/>
        <v>1</v>
      </c>
      <c r="AK19" s="19">
        <f t="shared" si="95"/>
        <v>1</v>
      </c>
      <c r="AL19" s="19">
        <f t="shared" si="95"/>
        <v>1</v>
      </c>
      <c r="AM19" s="19" t="str">
        <f>(P10)</f>
        <v>.</v>
      </c>
      <c r="AN19" s="19">
        <f t="shared" si="95"/>
        <v>1</v>
      </c>
      <c r="AO19" s="19">
        <f t="shared" si="95"/>
        <v>1</v>
      </c>
      <c r="AP19" s="19">
        <f t="shared" si="95"/>
        <v>1</v>
      </c>
      <c r="AQ19" s="19">
        <f t="shared" si="95"/>
        <v>1</v>
      </c>
      <c r="AR19" s="19" t="str">
        <f>(U10)</f>
        <v>.</v>
      </c>
      <c r="AS19" s="19">
        <f t="shared" si="95"/>
        <v>1</v>
      </c>
      <c r="AT19" s="19">
        <f t="shared" si="95"/>
        <v>1</v>
      </c>
      <c r="AU19" s="19">
        <f t="shared" si="95"/>
        <v>1</v>
      </c>
      <c r="AV19" s="19">
        <f t="shared" si="95"/>
        <v>1</v>
      </c>
      <c r="BA19" s="1" t="s">
        <v>43</v>
      </c>
      <c r="BB19" t="s">
        <v>57</v>
      </c>
      <c r="BD19" s="6">
        <f>C10</f>
        <v>-1</v>
      </c>
      <c r="BF19" s="24"/>
      <c r="BG19" s="24"/>
      <c r="BH19" s="24"/>
      <c r="BI19" s="24"/>
    </row>
    <row r="20" spans="1:61" ht="14.5" customHeight="1" x14ac:dyDescent="0.35">
      <c r="A20" s="26"/>
      <c r="B20" s="26"/>
      <c r="C20" s="7"/>
      <c r="Z20" s="1" t="s">
        <v>16</v>
      </c>
      <c r="AA20" s="9"/>
      <c r="AB20" s="12" t="s">
        <v>46</v>
      </c>
      <c r="AC20" s="12" t="s">
        <v>44</v>
      </c>
      <c r="AD20" s="12" t="s">
        <v>47</v>
      </c>
      <c r="AE20" s="12" t="s">
        <v>47</v>
      </c>
      <c r="AF20" s="12" t="s">
        <v>47</v>
      </c>
      <c r="AG20" s="12" t="s">
        <v>47</v>
      </c>
      <c r="AH20" s="12" t="s">
        <v>47</v>
      </c>
      <c r="AI20" s="12" t="s">
        <v>47</v>
      </c>
      <c r="AJ20" s="12" t="s">
        <v>47</v>
      </c>
      <c r="AK20" s="12" t="s">
        <v>47</v>
      </c>
      <c r="AL20" s="12" t="s">
        <v>47</v>
      </c>
      <c r="AM20" s="12" t="s">
        <v>47</v>
      </c>
      <c r="AN20" s="12" t="s">
        <v>47</v>
      </c>
      <c r="AO20" s="12" t="s">
        <v>47</v>
      </c>
      <c r="AP20" s="12" t="s">
        <v>47</v>
      </c>
      <c r="AQ20" s="12" t="s">
        <v>47</v>
      </c>
      <c r="AR20" s="12" t="s">
        <v>47</v>
      </c>
      <c r="AS20" s="12" t="s">
        <v>47</v>
      </c>
      <c r="AT20" s="12" t="s">
        <v>47</v>
      </c>
      <c r="AU20" s="12" t="s">
        <v>47</v>
      </c>
      <c r="AV20" s="12" t="s">
        <v>47</v>
      </c>
      <c r="AZ20" s="1" t="s">
        <v>16</v>
      </c>
      <c r="BA20" s="9"/>
      <c r="BB20" s="12" t="s">
        <v>45</v>
      </c>
      <c r="BC20" s="12" t="s">
        <v>45</v>
      </c>
      <c r="BD20" s="12" t="s">
        <v>46</v>
      </c>
      <c r="BE20" s="22"/>
      <c r="BF20" s="24"/>
      <c r="BG20" s="24"/>
      <c r="BH20" s="24"/>
      <c r="BI20" s="24"/>
    </row>
    <row r="21" spans="1:61" ht="14.5" customHeight="1" x14ac:dyDescent="0.35">
      <c r="A21" s="20"/>
      <c r="O21" s="16"/>
      <c r="Z21" s="16"/>
      <c r="AA21" s="15"/>
      <c r="AD21" s="19">
        <f t="shared" ref="AD21:AG21" si="96">MOD(AD18+AD19+AD17,2)</f>
        <v>1</v>
      </c>
      <c r="AE21" s="19">
        <f t="shared" si="96"/>
        <v>1</v>
      </c>
      <c r="AF21" s="19">
        <f t="shared" si="96"/>
        <v>1</v>
      </c>
      <c r="AG21" s="19">
        <f t="shared" si="96"/>
        <v>1</v>
      </c>
      <c r="AH21" s="19" t="s">
        <v>42</v>
      </c>
      <c r="AI21" s="19">
        <f t="shared" ref="AI21:AL21" si="97">MOD(AI18+AI19+AI17,2)</f>
        <v>1</v>
      </c>
      <c r="AJ21" s="19">
        <f t="shared" si="97"/>
        <v>1</v>
      </c>
      <c r="AK21" s="19">
        <f t="shared" si="97"/>
        <v>1</v>
      </c>
      <c r="AL21" s="19">
        <f t="shared" si="97"/>
        <v>1</v>
      </c>
      <c r="AM21" s="19" t="s">
        <v>42</v>
      </c>
      <c r="AN21" s="19">
        <f t="shared" ref="AN21:AQ21" si="98">MOD(AN18+AN19+AN17,2)</f>
        <v>1</v>
      </c>
      <c r="AO21" s="19">
        <f t="shared" si="98"/>
        <v>1</v>
      </c>
      <c r="AP21" s="19">
        <f t="shared" si="98"/>
        <v>1</v>
      </c>
      <c r="AQ21" s="19">
        <f t="shared" si="98"/>
        <v>1</v>
      </c>
      <c r="AR21" s="19" t="s">
        <v>42</v>
      </c>
      <c r="AS21" s="19">
        <f t="shared" ref="AS21:AT21" si="99">MOD(AS18+AS19+AS17,2)</f>
        <v>1</v>
      </c>
      <c r="AT21" s="19">
        <f t="shared" si="99"/>
        <v>1</v>
      </c>
      <c r="AU21" s="19">
        <f>MOD(AU18+AU19+AU17,2)</f>
        <v>1</v>
      </c>
      <c r="AV21" s="19">
        <f>MOD(AV18+AV19+AV17,2)</f>
        <v>0</v>
      </c>
      <c r="AW21" s="13" t="s">
        <v>48</v>
      </c>
      <c r="AX21" s="6">
        <f>IF($AD21=0,SUM(AD22:AV22),(SUM(AD22:AV22)+1)*-1)</f>
        <v>-2</v>
      </c>
      <c r="AY21" s="14" t="s">
        <v>51</v>
      </c>
      <c r="BD21" s="6">
        <f>BD18+BD19</f>
        <v>-2</v>
      </c>
      <c r="BE21" s="23" t="s">
        <v>51</v>
      </c>
      <c r="BF21" s="24"/>
      <c r="BG21" s="24"/>
      <c r="BH21" s="24"/>
      <c r="BI21" s="24"/>
    </row>
    <row r="22" spans="1:61" ht="14.5" customHeight="1" x14ac:dyDescent="0.35">
      <c r="A22" s="10" t="str">
        <f t="shared" ref="A22:A26" si="100">RIGHT(IF(C4&lt;(-65536),_xlfn.BASE(65536-ABS(65536-ABS(C4)),2,16),IF(C4&lt;0,_xlfn.BASE(65536-ABS(C4),2,16),_xlfn.BASE(C4,2,16))),16)</f>
        <v>0000000000000001</v>
      </c>
      <c r="AA22" s="9"/>
      <c r="AD22" s="10">
        <f t="shared" ref="AD22" si="101">IF($AD21=0,AD21*POWER(2,16-(COLUMN(AD22)-COLUMN($AC22)-0)),(1-AD21)*POWER(2,16-(COLUMN(AD22)-COLUMN($AC22)-0)))</f>
        <v>0</v>
      </c>
      <c r="AE22" s="10">
        <f t="shared" ref="AE22" si="102">IF($AD21=0,AE21*POWER(2,16-(COLUMN(AE22)-COLUMN($AC22)-0)),(1-AE21)*POWER(2,16-(COLUMN(AE22)-COLUMN($AC22)-0)))</f>
        <v>0</v>
      </c>
      <c r="AF22" s="10">
        <f t="shared" ref="AF22" si="103">IF($AD21=0,AF21*POWER(2,16-(COLUMN(AF22)-COLUMN($AC22)-0)),(1-AF21)*POWER(2,16-(COLUMN(AF22)-COLUMN($AC22)-0)))</f>
        <v>0</v>
      </c>
      <c r="AG22" s="10">
        <f>IF($AD21=0,AG21*POWER(2,16-(COLUMN(AG22)-COLUMN($AC22)-0)),(1-AG21)*POWER(2,16-(COLUMN(AG22)-COLUMN($AC22)-0)))</f>
        <v>0</v>
      </c>
      <c r="AH22" s="10"/>
      <c r="AI22" s="10">
        <f t="shared" ref="AI22" si="104">IF($AD21=0,AI21*POWER(2,16-(COLUMN(AI22)-COLUMN($AC22)-1)),(1-AI21)*POWER(2,16-(COLUMN(AI22)-COLUMN($AC22)-1)))</f>
        <v>0</v>
      </c>
      <c r="AJ22" s="10">
        <f t="shared" ref="AJ22" si="105">IF($AD21=0,AJ21*POWER(2,16-(COLUMN(AJ22)-COLUMN($AC22)-1)),(1-AJ21)*POWER(2,16-(COLUMN(AJ22)-COLUMN($AC22)-1)))</f>
        <v>0</v>
      </c>
      <c r="AK22" s="10">
        <f t="shared" ref="AK22" si="106">IF($AD21=0,AK21*POWER(2,16-(COLUMN(AK22)-COLUMN($AC22)-1)),(1-AK21)*POWER(2,16-(COLUMN(AK22)-COLUMN($AC22)-1)))</f>
        <v>0</v>
      </c>
      <c r="AL22" s="10">
        <f>IF($AD21=0,AL21*POWER(2,16-(COLUMN(AL22)-COLUMN($AC22)-1)),(1-AL21)*POWER(2,16-(COLUMN(AL22)-COLUMN($AC22)-1)))</f>
        <v>0</v>
      </c>
      <c r="AM22" s="10"/>
      <c r="AN22" s="10">
        <f t="shared" ref="AN22" si="107">IF($AD21=0,AN21*POWER(2,16-(COLUMN(AN22)-COLUMN($AC22)-2)),(1-AN21)*POWER(2,16-(COLUMN(AN22)-COLUMN($AC22)-2)))</f>
        <v>0</v>
      </c>
      <c r="AO22" s="10">
        <f t="shared" ref="AO22" si="108">IF($AD21=0,AO21*POWER(2,16-(COLUMN(AO22)-COLUMN($AC22)-2)),(1-AO21)*POWER(2,16-(COLUMN(AO22)-COLUMN($AC22)-2)))</f>
        <v>0</v>
      </c>
      <c r="AP22" s="10">
        <f t="shared" ref="AP22" si="109">IF($AD21=0,AP21*POWER(2,16-(COLUMN(AP22)-COLUMN($AC22)-2)),(1-AP21)*POWER(2,16-(COLUMN(AP22)-COLUMN($AC22)-2)))</f>
        <v>0</v>
      </c>
      <c r="AQ22" s="10">
        <f>IF($AD21=0,AQ21*POWER(2,16-(COLUMN(AQ22)-COLUMN($AC22)-2)),(1-AQ21)*POWER(2,16-(COLUMN(AQ22)-COLUMN($AC22)-2)))</f>
        <v>0</v>
      </c>
      <c r="AR22" s="10"/>
      <c r="AS22" s="10">
        <f t="shared" ref="AS22" si="110">IF($AD21=0,AS21*POWER(2,16-(COLUMN(AS22)-COLUMN($AC22)-3)),(1-AS21)*POWER(2,16-(COLUMN(AS22)-COLUMN($AC22)-3)))</f>
        <v>0</v>
      </c>
      <c r="AT22" s="10">
        <f t="shared" ref="AT22" si="111">IF($AD21=0,AT21*POWER(2,16-(COLUMN(AT22)-COLUMN($AC22)-3)),(1-AT21)*POWER(2,16-(COLUMN(AT22)-COLUMN($AC22)-3)))</f>
        <v>0</v>
      </c>
      <c r="AU22" s="10">
        <f t="shared" ref="AU22" si="112">IF($AD21=0,AU21*POWER(2,16-(COLUMN(AU22)-COLUMN($AC22)-3)),(1-AU21)*POWER(2,16-(COLUMN(AU22)-COLUMN($AC22)-3)))</f>
        <v>0</v>
      </c>
      <c r="AV22" s="10">
        <f>IF($AD21=0,AV21*POWER(2,16-(COLUMN(AV22)-COLUMN($AC22)-3)),(1-AV21)*POWER(2,16-(COLUMN(AV22)-COLUMN($AC22)-3)))</f>
        <v>1</v>
      </c>
    </row>
    <row r="23" spans="1:61" ht="14.5" customHeight="1" x14ac:dyDescent="0.35">
      <c r="A23" s="10" t="str">
        <f t="shared" si="100"/>
        <v>1111111111111111</v>
      </c>
      <c r="AA23" s="9"/>
      <c r="AD23" s="25" t="str">
        <f>"CF="&amp;AC17</f>
        <v>CF=1</v>
      </c>
      <c r="AE23" s="25"/>
      <c r="AF23" s="25"/>
      <c r="AG23" s="25"/>
      <c r="AI23" s="25" t="str">
        <f>"PF="&amp;IF(MOD(COUNTIF(AN21:AV21,1),2)=0,1,0)</f>
        <v>PF=0</v>
      </c>
      <c r="AJ23" s="25"/>
      <c r="AK23" s="25"/>
      <c r="AL23" s="25"/>
      <c r="AN23" s="25" t="str">
        <f>"AF="&amp;IF(AS18+AS19+AS17&gt;=2,1,0)</f>
        <v>AF=1</v>
      </c>
      <c r="AO23" s="25"/>
      <c r="AP23" s="25"/>
      <c r="AQ23" s="25"/>
      <c r="AS23" s="25" t="str">
        <f>"ZF="&amp;IF(AX21=0,1,0)</f>
        <v>ZF=0</v>
      </c>
      <c r="AT23" s="25"/>
      <c r="AU23" s="25"/>
      <c r="AV23" s="25"/>
      <c r="AX23" t="str">
        <f>"SF="&amp;IF(AD21&lt;&gt;0,1,0)</f>
        <v>SF=1</v>
      </c>
      <c r="AZ23" t="str">
        <f>"OF="&amp;IF(AND(AD18=AD19, AD18&lt;&gt;AD21),1,0)</f>
        <v>OF=0</v>
      </c>
    </row>
    <row r="24" spans="1:61" ht="14.5" customHeight="1" x14ac:dyDescent="0.35">
      <c r="A24" s="10" t="str">
        <f t="shared" si="100"/>
        <v>0000000000000000</v>
      </c>
      <c r="AA24" s="5"/>
      <c r="AC24" s="10">
        <f t="shared" ref="AC24:AF24" si="113">INT((AD26+AD25+AD24)/2)</f>
        <v>1</v>
      </c>
      <c r="AD24" s="10">
        <f t="shared" si="113"/>
        <v>1</v>
      </c>
      <c r="AE24" s="10">
        <f t="shared" si="113"/>
        <v>1</v>
      </c>
      <c r="AF24" s="10">
        <f t="shared" si="113"/>
        <v>1</v>
      </c>
      <c r="AG24" s="10">
        <f>INT((AI26+AI25+AI24)/2)</f>
        <v>1</v>
      </c>
      <c r="AH24" s="10"/>
      <c r="AI24" s="10">
        <f t="shared" ref="AI24:AK24" si="114">INT((AJ26+AJ25+AJ24)/2)</f>
        <v>1</v>
      </c>
      <c r="AJ24" s="10">
        <f t="shared" si="114"/>
        <v>1</v>
      </c>
      <c r="AK24" s="10">
        <f t="shared" si="114"/>
        <v>1</v>
      </c>
      <c r="AL24" s="10">
        <f>INT((AN26+AN25+AN24)/2)</f>
        <v>1</v>
      </c>
      <c r="AM24" s="10"/>
      <c r="AN24" s="10">
        <f t="shared" ref="AN24:AO24" si="115">INT((AO26+AO25+AO24)/2)</f>
        <v>1</v>
      </c>
      <c r="AO24" s="10">
        <f t="shared" si="115"/>
        <v>1</v>
      </c>
      <c r="AP24" s="10">
        <f>INT((AQ26+AQ25+AQ24)/2)</f>
        <v>1</v>
      </c>
      <c r="AQ24" s="10">
        <f>INT((AS26+AS25+AS24)/2)</f>
        <v>1</v>
      </c>
      <c r="AR24" s="10"/>
      <c r="AS24" s="10">
        <f>INT((AT26+AT25+AT24)/2)</f>
        <v>1</v>
      </c>
      <c r="AT24" s="10">
        <f>INT((AU26+AU25+AU24)/2)</f>
        <v>1</v>
      </c>
      <c r="AU24" s="10">
        <f>INT((AV26+AV25)/2)</f>
        <v>1</v>
      </c>
      <c r="AV24" s="10"/>
    </row>
    <row r="25" spans="1:61" ht="14.5" customHeight="1" x14ac:dyDescent="0.35">
      <c r="A25" s="10" t="str">
        <f t="shared" si="100"/>
        <v>1111111111111111</v>
      </c>
      <c r="Z25" s="5"/>
      <c r="AB25" s="11" t="s">
        <v>56</v>
      </c>
      <c r="AD25" s="19">
        <f>VALUE(G10)</f>
        <v>1</v>
      </c>
      <c r="AE25" s="19">
        <f t="shared" ref="AE25:AV25" si="116">VALUE(H10)</f>
        <v>1</v>
      </c>
      <c r="AF25" s="19">
        <f t="shared" si="116"/>
        <v>1</v>
      </c>
      <c r="AG25" s="19">
        <f t="shared" si="116"/>
        <v>1</v>
      </c>
      <c r="AH25" s="19" t="str">
        <f>(K10)</f>
        <v>.</v>
      </c>
      <c r="AI25" s="19">
        <f t="shared" si="116"/>
        <v>1</v>
      </c>
      <c r="AJ25" s="19">
        <f t="shared" si="116"/>
        <v>1</v>
      </c>
      <c r="AK25" s="19">
        <f t="shared" si="116"/>
        <v>1</v>
      </c>
      <c r="AL25" s="19">
        <f t="shared" si="116"/>
        <v>1</v>
      </c>
      <c r="AM25" s="19" t="str">
        <f>(P10)</f>
        <v>.</v>
      </c>
      <c r="AN25" s="19">
        <f t="shared" si="116"/>
        <v>1</v>
      </c>
      <c r="AO25" s="19">
        <f t="shared" si="116"/>
        <v>1</v>
      </c>
      <c r="AP25" s="19">
        <f t="shared" si="116"/>
        <v>1</v>
      </c>
      <c r="AQ25" s="19">
        <f t="shared" si="116"/>
        <v>1</v>
      </c>
      <c r="AR25" s="19" t="str">
        <f>(U10)</f>
        <v>.</v>
      </c>
      <c r="AS25" s="19">
        <f t="shared" si="116"/>
        <v>1</v>
      </c>
      <c r="AT25" s="19">
        <f t="shared" si="116"/>
        <v>1</v>
      </c>
      <c r="AU25" s="19">
        <f t="shared" si="116"/>
        <v>1</v>
      </c>
      <c r="AV25" s="19">
        <f t="shared" si="116"/>
        <v>1</v>
      </c>
      <c r="BB25" t="s">
        <v>57</v>
      </c>
      <c r="BD25" s="6">
        <f>C10</f>
        <v>-1</v>
      </c>
      <c r="BF25" s="24" t="str">
        <f>IF(IF(AND(AD25=AD26, AD25&lt;&gt;AD28),1,0)=0,IF(AND(AX28=BD28,AC24=0),BJ$1,$BJ$3),IF(AD28=0,$BJ$4,$BJ$2))</f>
        <v>Результат корректный. Перенос из старшего разряда.</v>
      </c>
      <c r="BG25" s="24"/>
      <c r="BH25" s="24"/>
      <c r="BI25" s="24"/>
    </row>
    <row r="26" spans="1:61" ht="14.5" customHeight="1" x14ac:dyDescent="0.35">
      <c r="A26" s="10" t="str">
        <f t="shared" si="100"/>
        <v>1111111111111110</v>
      </c>
      <c r="Z26" s="5"/>
      <c r="AA26" s="1" t="s">
        <v>43</v>
      </c>
      <c r="AB26" s="11" t="s">
        <v>58</v>
      </c>
      <c r="AD26" s="19">
        <f>VALUE(G11)</f>
        <v>0</v>
      </c>
      <c r="AE26" s="19">
        <f t="shared" ref="AE26" si="117">VALUE(H11)</f>
        <v>0</v>
      </c>
      <c r="AF26" s="19">
        <f t="shared" ref="AF26" si="118">VALUE(I11)</f>
        <v>0</v>
      </c>
      <c r="AG26" s="19">
        <f t="shared" ref="AG26" si="119">VALUE(J11)</f>
        <v>0</v>
      </c>
      <c r="AH26" s="19" t="str">
        <f>(K11)</f>
        <v>.</v>
      </c>
      <c r="AI26" s="19">
        <f t="shared" ref="AI26" si="120">VALUE(L11)</f>
        <v>0</v>
      </c>
      <c r="AJ26" s="19">
        <f t="shared" ref="AJ26" si="121">VALUE(M11)</f>
        <v>0</v>
      </c>
      <c r="AK26" s="19">
        <f t="shared" ref="AK26" si="122">VALUE(N11)</f>
        <v>0</v>
      </c>
      <c r="AL26" s="19">
        <f t="shared" ref="AL26" si="123">VALUE(O11)</f>
        <v>0</v>
      </c>
      <c r="AM26" s="19" t="str">
        <f>(P11)</f>
        <v>.</v>
      </c>
      <c r="AN26" s="19">
        <f t="shared" ref="AN26" si="124">VALUE(Q11)</f>
        <v>0</v>
      </c>
      <c r="AO26" s="19">
        <f t="shared" ref="AO26" si="125">VALUE(R11)</f>
        <v>0</v>
      </c>
      <c r="AP26" s="19">
        <f t="shared" ref="AP26" si="126">VALUE(S11)</f>
        <v>0</v>
      </c>
      <c r="AQ26" s="19">
        <f t="shared" ref="AQ26" si="127">VALUE(T11)</f>
        <v>0</v>
      </c>
      <c r="AR26" s="19" t="str">
        <f>(U11)</f>
        <v>.</v>
      </c>
      <c r="AS26" s="19">
        <f t="shared" ref="AS26" si="128">VALUE(V11)</f>
        <v>0</v>
      </c>
      <c r="AT26" s="19">
        <f t="shared" ref="AT26" si="129">VALUE(W11)</f>
        <v>0</v>
      </c>
      <c r="AU26" s="19">
        <f t="shared" ref="AU26" si="130">VALUE(X11)</f>
        <v>0</v>
      </c>
      <c r="AV26" s="19">
        <f t="shared" ref="AV26" si="131">VALUE(Y11)</f>
        <v>1</v>
      </c>
      <c r="BA26" s="1" t="s">
        <v>43</v>
      </c>
      <c r="BB26" t="s">
        <v>59</v>
      </c>
      <c r="BD26" s="6">
        <f>C11</f>
        <v>1</v>
      </c>
      <c r="BF26" s="24"/>
      <c r="BG26" s="24"/>
      <c r="BH26" s="24"/>
      <c r="BI26" s="24"/>
    </row>
    <row r="27" spans="1:61" ht="14.5" customHeight="1" x14ac:dyDescent="0.35">
      <c r="A27" s="10" t="str">
        <f>RIGHT(IF(C9&lt;(-65536),_xlfn.BASE(65536-ABS(65536-ABS(C9)),2,16),IF(C9&lt;0,_xlfn.BASE(65536-ABS(C9),2,16),_xlfn.BASE(C9,2,16))),16)</f>
        <v>0000000000000001</v>
      </c>
      <c r="Z27" s="1" t="s">
        <v>16</v>
      </c>
      <c r="AA27" s="9"/>
      <c r="AB27" s="12" t="s">
        <v>46</v>
      </c>
      <c r="AC27" s="12" t="s">
        <v>44</v>
      </c>
      <c r="AD27" s="12" t="s">
        <v>47</v>
      </c>
      <c r="AE27" s="12" t="s">
        <v>47</v>
      </c>
      <c r="AF27" s="12" t="s">
        <v>47</v>
      </c>
      <c r="AG27" s="12" t="s">
        <v>47</v>
      </c>
      <c r="AH27" s="12" t="s">
        <v>47</v>
      </c>
      <c r="AI27" s="12" t="s">
        <v>47</v>
      </c>
      <c r="AJ27" s="12" t="s">
        <v>47</v>
      </c>
      <c r="AK27" s="12" t="s">
        <v>47</v>
      </c>
      <c r="AL27" s="12" t="s">
        <v>47</v>
      </c>
      <c r="AM27" s="12" t="s">
        <v>47</v>
      </c>
      <c r="AN27" s="12" t="s">
        <v>47</v>
      </c>
      <c r="AO27" s="12" t="s">
        <v>47</v>
      </c>
      <c r="AP27" s="12" t="s">
        <v>47</v>
      </c>
      <c r="AQ27" s="12" t="s">
        <v>47</v>
      </c>
      <c r="AR27" s="12" t="s">
        <v>47</v>
      </c>
      <c r="AS27" s="12" t="s">
        <v>47</v>
      </c>
      <c r="AT27" s="12" t="s">
        <v>47</v>
      </c>
      <c r="AU27" s="12" t="s">
        <v>47</v>
      </c>
      <c r="AV27" s="12" t="s">
        <v>47</v>
      </c>
      <c r="AZ27" s="1" t="s">
        <v>16</v>
      </c>
      <c r="BA27" s="9"/>
      <c r="BB27" s="12" t="s">
        <v>45</v>
      </c>
      <c r="BC27" s="12" t="s">
        <v>45</v>
      </c>
      <c r="BD27" s="12" t="s">
        <v>46</v>
      </c>
      <c r="BE27" s="22"/>
      <c r="BF27" s="24"/>
      <c r="BG27" s="24"/>
      <c r="BH27" s="24"/>
      <c r="BI27" s="24"/>
    </row>
    <row r="28" spans="1:61" ht="14.5" customHeight="1" x14ac:dyDescent="0.35">
      <c r="A28" s="10" t="str">
        <f t="shared" ref="A28:A33" si="132">RIGHT(IF(C10&lt;(-65536),_xlfn.BASE(65536-ABS(65536-ABS(C10)),2,16),IF(C10&lt;0,_xlfn.BASE(65536-ABS(C10),2,16),_xlfn.BASE(C10,2,16))),16)</f>
        <v>1111111111111111</v>
      </c>
      <c r="Z28" s="16"/>
      <c r="AA28" s="15"/>
      <c r="AD28" s="19">
        <f t="shared" ref="AD28:AG28" si="133">MOD(AD25+AD26+AD24,2)</f>
        <v>0</v>
      </c>
      <c r="AE28" s="19">
        <f t="shared" si="133"/>
        <v>0</v>
      </c>
      <c r="AF28" s="19">
        <f t="shared" si="133"/>
        <v>0</v>
      </c>
      <c r="AG28" s="19">
        <f t="shared" si="133"/>
        <v>0</v>
      </c>
      <c r="AH28" s="19" t="s">
        <v>42</v>
      </c>
      <c r="AI28" s="19">
        <f t="shared" ref="AI28:AL28" si="134">MOD(AI25+AI26+AI24,2)</f>
        <v>0</v>
      </c>
      <c r="AJ28" s="19">
        <f t="shared" si="134"/>
        <v>0</v>
      </c>
      <c r="AK28" s="19">
        <f t="shared" si="134"/>
        <v>0</v>
      </c>
      <c r="AL28" s="19">
        <f t="shared" si="134"/>
        <v>0</v>
      </c>
      <c r="AM28" s="19" t="s">
        <v>42</v>
      </c>
      <c r="AN28" s="19">
        <f t="shared" ref="AN28:AQ28" si="135">MOD(AN25+AN26+AN24,2)</f>
        <v>0</v>
      </c>
      <c r="AO28" s="19">
        <f t="shared" si="135"/>
        <v>0</v>
      </c>
      <c r="AP28" s="19">
        <f t="shared" si="135"/>
        <v>0</v>
      </c>
      <c r="AQ28" s="19">
        <f t="shared" si="135"/>
        <v>0</v>
      </c>
      <c r="AR28" s="19" t="s">
        <v>42</v>
      </c>
      <c r="AS28" s="19">
        <f t="shared" ref="AS28:AT28" si="136">MOD(AS25+AS26+AS24,2)</f>
        <v>0</v>
      </c>
      <c r="AT28" s="19">
        <f t="shared" si="136"/>
        <v>0</v>
      </c>
      <c r="AU28" s="19">
        <f>MOD(AU25+AU26+AU24,2)</f>
        <v>0</v>
      </c>
      <c r="AV28" s="19">
        <f>MOD(AV25+AV26+AV24,2)</f>
        <v>0</v>
      </c>
      <c r="AW28" s="13" t="s">
        <v>48</v>
      </c>
      <c r="AX28" s="6">
        <f>IF($AD28=0,SUM(AD29:AV29),(SUM(AD29:AV29)+1)*-1)</f>
        <v>0</v>
      </c>
      <c r="AY28" s="14" t="s">
        <v>51</v>
      </c>
      <c r="BD28" s="6">
        <f>BD25+BD26</f>
        <v>0</v>
      </c>
      <c r="BE28" s="23" t="s">
        <v>51</v>
      </c>
      <c r="BF28" s="24"/>
      <c r="BG28" s="24"/>
      <c r="BH28" s="24"/>
      <c r="BI28" s="24"/>
    </row>
    <row r="29" spans="1:61" ht="14.5" customHeight="1" x14ac:dyDescent="0.35">
      <c r="A29" s="10" t="str">
        <f t="shared" si="132"/>
        <v>0000000000000001</v>
      </c>
      <c r="AA29" s="9"/>
      <c r="AD29" s="10">
        <f t="shared" ref="AD29" si="137">IF($AD28=0,AD28*POWER(2,16-(COLUMN(AD29)-COLUMN($AC29)-0)),(1-AD28)*POWER(2,16-(COLUMN(AD29)-COLUMN($AC29)-0)))</f>
        <v>0</v>
      </c>
      <c r="AE29" s="10">
        <f t="shared" ref="AE29" si="138">IF($AD28=0,AE28*POWER(2,16-(COLUMN(AE29)-COLUMN($AC29)-0)),(1-AE28)*POWER(2,16-(COLUMN(AE29)-COLUMN($AC29)-0)))</f>
        <v>0</v>
      </c>
      <c r="AF29" s="10">
        <f t="shared" ref="AF29" si="139">IF($AD28=0,AF28*POWER(2,16-(COLUMN(AF29)-COLUMN($AC29)-0)),(1-AF28)*POWER(2,16-(COLUMN(AF29)-COLUMN($AC29)-0)))</f>
        <v>0</v>
      </c>
      <c r="AG29" s="10">
        <f>IF($AD28=0,AG28*POWER(2,16-(COLUMN(AG29)-COLUMN($AC29)-0)),(1-AG28)*POWER(2,16-(COLUMN(AG29)-COLUMN($AC29)-0)))</f>
        <v>0</v>
      </c>
      <c r="AH29" s="10"/>
      <c r="AI29" s="10">
        <f t="shared" ref="AI29" si="140">IF($AD28=0,AI28*POWER(2,16-(COLUMN(AI29)-COLUMN($AC29)-1)),(1-AI28)*POWER(2,16-(COLUMN(AI29)-COLUMN($AC29)-1)))</f>
        <v>0</v>
      </c>
      <c r="AJ29" s="10">
        <f t="shared" ref="AJ29" si="141">IF($AD28=0,AJ28*POWER(2,16-(COLUMN(AJ29)-COLUMN($AC29)-1)),(1-AJ28)*POWER(2,16-(COLUMN(AJ29)-COLUMN($AC29)-1)))</f>
        <v>0</v>
      </c>
      <c r="AK29" s="10">
        <f t="shared" ref="AK29" si="142">IF($AD28=0,AK28*POWER(2,16-(COLUMN(AK29)-COLUMN($AC29)-1)),(1-AK28)*POWER(2,16-(COLUMN(AK29)-COLUMN($AC29)-1)))</f>
        <v>0</v>
      </c>
      <c r="AL29" s="10">
        <f>IF($AD28=0,AL28*POWER(2,16-(COLUMN(AL29)-COLUMN($AC29)-1)),(1-AL28)*POWER(2,16-(COLUMN(AL29)-COLUMN($AC29)-1)))</f>
        <v>0</v>
      </c>
      <c r="AM29" s="10"/>
      <c r="AN29" s="10">
        <f t="shared" ref="AN29" si="143">IF($AD28=0,AN28*POWER(2,16-(COLUMN(AN29)-COLUMN($AC29)-2)),(1-AN28)*POWER(2,16-(COLUMN(AN29)-COLUMN($AC29)-2)))</f>
        <v>0</v>
      </c>
      <c r="AO29" s="10">
        <f t="shared" ref="AO29" si="144">IF($AD28=0,AO28*POWER(2,16-(COLUMN(AO29)-COLUMN($AC29)-2)),(1-AO28)*POWER(2,16-(COLUMN(AO29)-COLUMN($AC29)-2)))</f>
        <v>0</v>
      </c>
      <c r="AP29" s="10">
        <f t="shared" ref="AP29" si="145">IF($AD28=0,AP28*POWER(2,16-(COLUMN(AP29)-COLUMN($AC29)-2)),(1-AP28)*POWER(2,16-(COLUMN(AP29)-COLUMN($AC29)-2)))</f>
        <v>0</v>
      </c>
      <c r="AQ29" s="10">
        <f>IF($AD28=0,AQ28*POWER(2,16-(COLUMN(AQ29)-COLUMN($AC29)-2)),(1-AQ28)*POWER(2,16-(COLUMN(AQ29)-COLUMN($AC29)-2)))</f>
        <v>0</v>
      </c>
      <c r="AR29" s="10"/>
      <c r="AS29" s="10">
        <f t="shared" ref="AS29" si="146">IF($AD28=0,AS28*POWER(2,16-(COLUMN(AS29)-COLUMN($AC29)-3)),(1-AS28)*POWER(2,16-(COLUMN(AS29)-COLUMN($AC29)-3)))</f>
        <v>0</v>
      </c>
      <c r="AT29" s="10">
        <f t="shared" ref="AT29" si="147">IF($AD28=0,AT28*POWER(2,16-(COLUMN(AT29)-COLUMN($AC29)-3)),(1-AT28)*POWER(2,16-(COLUMN(AT29)-COLUMN($AC29)-3)))</f>
        <v>0</v>
      </c>
      <c r="AU29" s="10">
        <f t="shared" ref="AU29" si="148">IF($AD28=0,AU28*POWER(2,16-(COLUMN(AU29)-COLUMN($AC29)-3)),(1-AU28)*POWER(2,16-(COLUMN(AU29)-COLUMN($AC29)-3)))</f>
        <v>0</v>
      </c>
      <c r="AV29" s="10">
        <f>IF($AD28=0,AV28*POWER(2,16-(COLUMN(AV29)-COLUMN($AC29)-3)),(1-AV28)*POWER(2,16-(COLUMN(AV29)-COLUMN($AC29)-3)))</f>
        <v>0</v>
      </c>
    </row>
    <row r="30" spans="1:61" x14ac:dyDescent="0.35">
      <c r="A30" s="10" t="str">
        <f t="shared" si="132"/>
        <v>0000000000000000</v>
      </c>
      <c r="AA30" s="9"/>
      <c r="AD30" s="25" t="str">
        <f>"CF="&amp;AC24</f>
        <v>CF=1</v>
      </c>
      <c r="AE30" s="25"/>
      <c r="AF30" s="25"/>
      <c r="AG30" s="25"/>
      <c r="AI30" s="25" t="str">
        <f>"PF="&amp;IF(MOD(COUNTIF(AN28:AV28,1),2)=0,1,0)</f>
        <v>PF=1</v>
      </c>
      <c r="AJ30" s="25"/>
      <c r="AK30" s="25"/>
      <c r="AL30" s="25"/>
      <c r="AN30" s="25" t="str">
        <f>"AF="&amp;IF(AS25+AS26+AS24&gt;=2,1,0)</f>
        <v>AF=1</v>
      </c>
      <c r="AO30" s="25"/>
      <c r="AP30" s="25"/>
      <c r="AQ30" s="25"/>
      <c r="AS30" s="25" t="str">
        <f>"ZF="&amp;IF(AX28=0,1,0)</f>
        <v>ZF=1</v>
      </c>
      <c r="AT30" s="25"/>
      <c r="AU30" s="25"/>
      <c r="AV30" s="25"/>
      <c r="AX30" t="str">
        <f>"SF="&amp;IF(AD28&lt;&gt;0,1,0)</f>
        <v>SF=0</v>
      </c>
      <c r="AZ30" t="str">
        <f>"OF="&amp;IF(AND(AD25=AD26, AD25&lt;&gt;AD28),1,0)</f>
        <v>OF=0</v>
      </c>
    </row>
    <row r="31" spans="1:61" ht="17.5" x14ac:dyDescent="0.35">
      <c r="A31" s="10" t="str">
        <f t="shared" si="132"/>
        <v>0000000000000001</v>
      </c>
      <c r="AA31" s="5"/>
      <c r="AC31" s="10">
        <f t="shared" ref="AC31:AF31" si="149">INT((AD33+AD32+AD31)/2)</f>
        <v>0</v>
      </c>
      <c r="AD31" s="10">
        <f t="shared" si="149"/>
        <v>0</v>
      </c>
      <c r="AE31" s="10">
        <f t="shared" si="149"/>
        <v>0</v>
      </c>
      <c r="AF31" s="10">
        <f t="shared" si="149"/>
        <v>0</v>
      </c>
      <c r="AG31" s="10">
        <f>INT((AI33+AI32+AI31)/2)</f>
        <v>0</v>
      </c>
      <c r="AH31" s="10"/>
      <c r="AI31" s="10">
        <f t="shared" ref="AI31:AK31" si="150">INT((AJ33+AJ32+AJ31)/2)</f>
        <v>0</v>
      </c>
      <c r="AJ31" s="10">
        <f t="shared" si="150"/>
        <v>0</v>
      </c>
      <c r="AK31" s="10">
        <f t="shared" si="150"/>
        <v>0</v>
      </c>
      <c r="AL31" s="10">
        <f>INT((AN33+AN32+AN31)/2)</f>
        <v>0</v>
      </c>
      <c r="AM31" s="10"/>
      <c r="AN31" s="10">
        <f t="shared" ref="AN31:AO31" si="151">INT((AO33+AO32+AO31)/2)</f>
        <v>0</v>
      </c>
      <c r="AO31" s="10">
        <f t="shared" si="151"/>
        <v>0</v>
      </c>
      <c r="AP31" s="10">
        <f>INT((AQ33+AQ32+AQ31)/2)</f>
        <v>0</v>
      </c>
      <c r="AQ31" s="10">
        <f>INT((AS33+AS32+AS31)/2)</f>
        <v>0</v>
      </c>
      <c r="AR31" s="10"/>
      <c r="AS31" s="10">
        <f>INT((AT33+AT32+AT31)/2)</f>
        <v>0</v>
      </c>
      <c r="AT31" s="10">
        <f>INT((AU33+AU32+AU31)/2)</f>
        <v>0</v>
      </c>
      <c r="AU31" s="10">
        <f>INT((AV33+AV32)/2)</f>
        <v>1</v>
      </c>
      <c r="AV31" s="10"/>
    </row>
    <row r="32" spans="1:61" ht="17.5" customHeight="1" x14ac:dyDescent="0.35">
      <c r="A32" s="10" t="str">
        <f t="shared" si="132"/>
        <v>0000000000000010</v>
      </c>
      <c r="Z32" s="5"/>
      <c r="AB32" s="11" t="s">
        <v>49</v>
      </c>
      <c r="AD32" s="19">
        <f>VALUE(G4)</f>
        <v>0</v>
      </c>
      <c r="AE32" s="19">
        <f t="shared" ref="AE32:AV32" si="152">VALUE(H4)</f>
        <v>0</v>
      </c>
      <c r="AF32" s="19">
        <f t="shared" si="152"/>
        <v>0</v>
      </c>
      <c r="AG32" s="19">
        <f t="shared" si="152"/>
        <v>0</v>
      </c>
      <c r="AH32" s="19" t="str">
        <f>(K4)</f>
        <v>.</v>
      </c>
      <c r="AI32" s="19">
        <f t="shared" si="152"/>
        <v>0</v>
      </c>
      <c r="AJ32" s="19">
        <f t="shared" si="152"/>
        <v>0</v>
      </c>
      <c r="AK32" s="19">
        <f t="shared" si="152"/>
        <v>0</v>
      </c>
      <c r="AL32" s="19">
        <f t="shared" si="152"/>
        <v>0</v>
      </c>
      <c r="AM32" s="19" t="str">
        <f>(P4)</f>
        <v>.</v>
      </c>
      <c r="AN32" s="19">
        <f t="shared" si="152"/>
        <v>0</v>
      </c>
      <c r="AO32" s="19">
        <f t="shared" si="152"/>
        <v>0</v>
      </c>
      <c r="AP32" s="19">
        <f t="shared" si="152"/>
        <v>0</v>
      </c>
      <c r="AQ32" s="19">
        <f t="shared" si="152"/>
        <v>0</v>
      </c>
      <c r="AR32" s="19" t="str">
        <f>(U4)</f>
        <v>.</v>
      </c>
      <c r="AS32" s="19">
        <f t="shared" si="152"/>
        <v>0</v>
      </c>
      <c r="AT32" s="19">
        <f t="shared" si="152"/>
        <v>0</v>
      </c>
      <c r="AU32" s="19">
        <f t="shared" si="152"/>
        <v>0</v>
      </c>
      <c r="AV32" s="19">
        <f t="shared" si="152"/>
        <v>1</v>
      </c>
      <c r="BB32" t="s">
        <v>52</v>
      </c>
      <c r="BD32" s="6">
        <f>C4</f>
        <v>1</v>
      </c>
      <c r="BF32" s="24" t="str">
        <f>IF(IF(AND(AD32=AD33, AD32&lt;&gt;AD35),1,0)=0,IF(AND(AX35=BD35,AC31=0),BJ$1,$BJ$3),IF(AD35=0,$BJ$4,$BJ$2))</f>
        <v>Результат корректный.</v>
      </c>
      <c r="BG32" s="24"/>
      <c r="BH32" s="24"/>
      <c r="BI32" s="24"/>
    </row>
    <row r="33" spans="1:61" ht="17.5" x14ac:dyDescent="0.35">
      <c r="A33" s="10" t="str">
        <f t="shared" si="132"/>
        <v>1111111111111111</v>
      </c>
      <c r="Z33" s="5"/>
      <c r="AA33" s="1" t="s">
        <v>43</v>
      </c>
      <c r="AB33" s="11" t="s">
        <v>58</v>
      </c>
      <c r="AD33" s="19">
        <f>VALUE(G11)</f>
        <v>0</v>
      </c>
      <c r="AE33" s="19">
        <f t="shared" ref="AE33:AV33" si="153">VALUE(H11)</f>
        <v>0</v>
      </c>
      <c r="AF33" s="19">
        <f t="shared" si="153"/>
        <v>0</v>
      </c>
      <c r="AG33" s="19">
        <f t="shared" si="153"/>
        <v>0</v>
      </c>
      <c r="AH33" s="19" t="str">
        <f>(K11)</f>
        <v>.</v>
      </c>
      <c r="AI33" s="19">
        <f t="shared" si="153"/>
        <v>0</v>
      </c>
      <c r="AJ33" s="19">
        <f t="shared" si="153"/>
        <v>0</v>
      </c>
      <c r="AK33" s="19">
        <f t="shared" si="153"/>
        <v>0</v>
      </c>
      <c r="AL33" s="19">
        <f t="shared" si="153"/>
        <v>0</v>
      </c>
      <c r="AM33" s="19" t="str">
        <f>(P11)</f>
        <v>.</v>
      </c>
      <c r="AN33" s="19">
        <f t="shared" si="153"/>
        <v>0</v>
      </c>
      <c r="AO33" s="19">
        <f t="shared" si="153"/>
        <v>0</v>
      </c>
      <c r="AP33" s="19">
        <f t="shared" si="153"/>
        <v>0</v>
      </c>
      <c r="AQ33" s="19">
        <f t="shared" si="153"/>
        <v>0</v>
      </c>
      <c r="AR33" s="19" t="str">
        <f>(U11)</f>
        <v>.</v>
      </c>
      <c r="AS33" s="19">
        <f t="shared" si="153"/>
        <v>0</v>
      </c>
      <c r="AT33" s="19">
        <f t="shared" si="153"/>
        <v>0</v>
      </c>
      <c r="AU33" s="19">
        <f t="shared" si="153"/>
        <v>0</v>
      </c>
      <c r="AV33" s="19">
        <f t="shared" si="153"/>
        <v>1</v>
      </c>
      <c r="BA33" s="1" t="s">
        <v>43</v>
      </c>
      <c r="BB33" t="s">
        <v>59</v>
      </c>
      <c r="BD33" s="6">
        <f>C11</f>
        <v>1</v>
      </c>
      <c r="BF33" s="24"/>
      <c r="BG33" s="24"/>
      <c r="BH33" s="24"/>
      <c r="BI33" s="24"/>
    </row>
    <row r="34" spans="1:61" x14ac:dyDescent="0.35">
      <c r="A34" s="17"/>
      <c r="Z34" s="1" t="s">
        <v>16</v>
      </c>
      <c r="AA34" s="9"/>
      <c r="AB34" s="12" t="s">
        <v>46</v>
      </c>
      <c r="AC34" s="12" t="s">
        <v>44</v>
      </c>
      <c r="AD34" s="12" t="s">
        <v>47</v>
      </c>
      <c r="AE34" s="12" t="s">
        <v>47</v>
      </c>
      <c r="AF34" s="12" t="s">
        <v>47</v>
      </c>
      <c r="AG34" s="12" t="s">
        <v>47</v>
      </c>
      <c r="AH34" s="12" t="s">
        <v>47</v>
      </c>
      <c r="AI34" s="12" t="s">
        <v>47</v>
      </c>
      <c r="AJ34" s="12" t="s">
        <v>47</v>
      </c>
      <c r="AK34" s="12" t="s">
        <v>47</v>
      </c>
      <c r="AL34" s="12" t="s">
        <v>47</v>
      </c>
      <c r="AM34" s="12" t="s">
        <v>47</v>
      </c>
      <c r="AN34" s="12" t="s">
        <v>47</v>
      </c>
      <c r="AO34" s="12" t="s">
        <v>47</v>
      </c>
      <c r="AP34" s="12" t="s">
        <v>47</v>
      </c>
      <c r="AQ34" s="12" t="s">
        <v>47</v>
      </c>
      <c r="AR34" s="12" t="s">
        <v>47</v>
      </c>
      <c r="AS34" s="12" t="s">
        <v>47</v>
      </c>
      <c r="AT34" s="12" t="s">
        <v>47</v>
      </c>
      <c r="AU34" s="12" t="s">
        <v>47</v>
      </c>
      <c r="AV34" s="12" t="s">
        <v>47</v>
      </c>
      <c r="AZ34" s="1" t="s">
        <v>16</v>
      </c>
      <c r="BA34" s="9"/>
      <c r="BB34" s="12" t="s">
        <v>45</v>
      </c>
      <c r="BC34" s="12" t="s">
        <v>45</v>
      </c>
      <c r="BD34" s="12" t="s">
        <v>46</v>
      </c>
      <c r="BE34" s="22"/>
      <c r="BF34" s="24"/>
      <c r="BG34" s="24"/>
      <c r="BH34" s="24"/>
      <c r="BI34" s="24"/>
    </row>
    <row r="35" spans="1:61" x14ac:dyDescent="0.35">
      <c r="A35" s="17"/>
      <c r="Z35" s="16"/>
      <c r="AA35" s="15"/>
      <c r="AD35" s="19">
        <f t="shared" ref="AD35:AG35" si="154">MOD(AD32+AD33+AD31,2)</f>
        <v>0</v>
      </c>
      <c r="AE35" s="19">
        <f t="shared" si="154"/>
        <v>0</v>
      </c>
      <c r="AF35" s="19">
        <f t="shared" si="154"/>
        <v>0</v>
      </c>
      <c r="AG35" s="19">
        <f t="shared" si="154"/>
        <v>0</v>
      </c>
      <c r="AH35" s="19" t="s">
        <v>42</v>
      </c>
      <c r="AI35" s="19">
        <f t="shared" ref="AI35:AL35" si="155">MOD(AI32+AI33+AI31,2)</f>
        <v>0</v>
      </c>
      <c r="AJ35" s="19">
        <f t="shared" si="155"/>
        <v>0</v>
      </c>
      <c r="AK35" s="19">
        <f t="shared" si="155"/>
        <v>0</v>
      </c>
      <c r="AL35" s="19">
        <f t="shared" si="155"/>
        <v>0</v>
      </c>
      <c r="AM35" s="19" t="s">
        <v>42</v>
      </c>
      <c r="AN35" s="19">
        <f t="shared" ref="AN35:AQ35" si="156">MOD(AN32+AN33+AN31,2)</f>
        <v>0</v>
      </c>
      <c r="AO35" s="19">
        <f t="shared" si="156"/>
        <v>0</v>
      </c>
      <c r="AP35" s="19">
        <f t="shared" si="156"/>
        <v>0</v>
      </c>
      <c r="AQ35" s="19">
        <f t="shared" si="156"/>
        <v>0</v>
      </c>
      <c r="AR35" s="19" t="s">
        <v>42</v>
      </c>
      <c r="AS35" s="19">
        <f t="shared" ref="AS35:AT35" si="157">MOD(AS32+AS33+AS31,2)</f>
        <v>0</v>
      </c>
      <c r="AT35" s="19">
        <f t="shared" si="157"/>
        <v>0</v>
      </c>
      <c r="AU35" s="19">
        <f>MOD(AU32+AU33+AU31,2)</f>
        <v>1</v>
      </c>
      <c r="AV35" s="19">
        <f>MOD(AV32+AV33+AV31,2)</f>
        <v>0</v>
      </c>
      <c r="AW35" s="13" t="s">
        <v>48</v>
      </c>
      <c r="AX35" s="6">
        <f>IF($AD35=0,SUM(AD36:AV36),(SUM(AD36:AV36)+1)*-1)</f>
        <v>2</v>
      </c>
      <c r="AY35" s="14" t="s">
        <v>51</v>
      </c>
      <c r="BD35" s="6">
        <f>BD32+BD33</f>
        <v>2</v>
      </c>
      <c r="BE35" s="23" t="s">
        <v>51</v>
      </c>
      <c r="BF35" s="24"/>
      <c r="BG35" s="24"/>
      <c r="BH35" s="24"/>
      <c r="BI35" s="24"/>
    </row>
    <row r="36" spans="1:61" x14ac:dyDescent="0.35">
      <c r="A36" s="17"/>
      <c r="AA36" s="9"/>
      <c r="AD36" s="10">
        <f t="shared" ref="AD36" si="158">IF($AD35=0,AD35*POWER(2,16-(COLUMN(AD36)-COLUMN($AC36)-0)),(1-AD35)*POWER(2,16-(COLUMN(AD36)-COLUMN($AC36)-0)))</f>
        <v>0</v>
      </c>
      <c r="AE36" s="10">
        <f t="shared" ref="AE36" si="159">IF($AD35=0,AE35*POWER(2,16-(COLUMN(AE36)-COLUMN($AC36)-0)),(1-AE35)*POWER(2,16-(COLUMN(AE36)-COLUMN($AC36)-0)))</f>
        <v>0</v>
      </c>
      <c r="AF36" s="10">
        <f t="shared" ref="AF36" si="160">IF($AD35=0,AF35*POWER(2,16-(COLUMN(AF36)-COLUMN($AC36)-0)),(1-AF35)*POWER(2,16-(COLUMN(AF36)-COLUMN($AC36)-0)))</f>
        <v>0</v>
      </c>
      <c r="AG36" s="10">
        <f>IF($AD35=0,AG35*POWER(2,16-(COLUMN(AG36)-COLUMN($AC36)-0)),(1-AG35)*POWER(2,16-(COLUMN(AG36)-COLUMN($AC36)-0)))</f>
        <v>0</v>
      </c>
      <c r="AH36" s="10"/>
      <c r="AI36" s="10">
        <f t="shared" ref="AI36" si="161">IF($AD35=0,AI35*POWER(2,16-(COLUMN(AI36)-COLUMN($AC36)-1)),(1-AI35)*POWER(2,16-(COLUMN(AI36)-COLUMN($AC36)-1)))</f>
        <v>0</v>
      </c>
      <c r="AJ36" s="10">
        <f t="shared" ref="AJ36" si="162">IF($AD35=0,AJ35*POWER(2,16-(COLUMN(AJ36)-COLUMN($AC36)-1)),(1-AJ35)*POWER(2,16-(COLUMN(AJ36)-COLUMN($AC36)-1)))</f>
        <v>0</v>
      </c>
      <c r="AK36" s="10">
        <f t="shared" ref="AK36" si="163">IF($AD35=0,AK35*POWER(2,16-(COLUMN(AK36)-COLUMN($AC36)-1)),(1-AK35)*POWER(2,16-(COLUMN(AK36)-COLUMN($AC36)-1)))</f>
        <v>0</v>
      </c>
      <c r="AL36" s="10">
        <f>IF($AD35=0,AL35*POWER(2,16-(COLUMN(AL36)-COLUMN($AC36)-1)),(1-AL35)*POWER(2,16-(COLUMN(AL36)-COLUMN($AC36)-1)))</f>
        <v>0</v>
      </c>
      <c r="AM36" s="10"/>
      <c r="AN36" s="10">
        <f t="shared" ref="AN36" si="164">IF($AD35=0,AN35*POWER(2,16-(COLUMN(AN36)-COLUMN($AC36)-2)),(1-AN35)*POWER(2,16-(COLUMN(AN36)-COLUMN($AC36)-2)))</f>
        <v>0</v>
      </c>
      <c r="AO36" s="10">
        <f t="shared" ref="AO36" si="165">IF($AD35=0,AO35*POWER(2,16-(COLUMN(AO36)-COLUMN($AC36)-2)),(1-AO35)*POWER(2,16-(COLUMN(AO36)-COLUMN($AC36)-2)))</f>
        <v>0</v>
      </c>
      <c r="AP36" s="10">
        <f t="shared" ref="AP36" si="166">IF($AD35=0,AP35*POWER(2,16-(COLUMN(AP36)-COLUMN($AC36)-2)),(1-AP35)*POWER(2,16-(COLUMN(AP36)-COLUMN($AC36)-2)))</f>
        <v>0</v>
      </c>
      <c r="AQ36" s="10">
        <f>IF($AD35=0,AQ35*POWER(2,16-(COLUMN(AQ36)-COLUMN($AC36)-2)),(1-AQ35)*POWER(2,16-(COLUMN(AQ36)-COLUMN($AC36)-2)))</f>
        <v>0</v>
      </c>
      <c r="AR36" s="10"/>
      <c r="AS36" s="10">
        <f t="shared" ref="AS36" si="167">IF($AD35=0,AS35*POWER(2,16-(COLUMN(AS36)-COLUMN($AC36)-3)),(1-AS35)*POWER(2,16-(COLUMN(AS36)-COLUMN($AC36)-3)))</f>
        <v>0</v>
      </c>
      <c r="AT36" s="10">
        <f t="shared" ref="AT36" si="168">IF($AD35=0,AT35*POWER(2,16-(COLUMN(AT36)-COLUMN($AC36)-3)),(1-AT35)*POWER(2,16-(COLUMN(AT36)-COLUMN($AC36)-3)))</f>
        <v>0</v>
      </c>
      <c r="AU36" s="10">
        <f t="shared" ref="AU36" si="169">IF($AD35=0,AU35*POWER(2,16-(COLUMN(AU36)-COLUMN($AC36)-3)),(1-AU35)*POWER(2,16-(COLUMN(AU36)-COLUMN($AC36)-3)))</f>
        <v>2</v>
      </c>
      <c r="AV36" s="10">
        <f>IF($AD35=0,AV35*POWER(2,16-(COLUMN(AV36)-COLUMN($AC36)-3)),(1-AV35)*POWER(2,16-(COLUMN(AV36)-COLUMN($AC36)-3)))</f>
        <v>0</v>
      </c>
    </row>
    <row r="37" spans="1:61" x14ac:dyDescent="0.35">
      <c r="AA37" s="9"/>
      <c r="AD37" s="25" t="str">
        <f>"CF="&amp;AC31</f>
        <v>CF=0</v>
      </c>
      <c r="AE37" s="25"/>
      <c r="AF37" s="25"/>
      <c r="AG37" s="25"/>
      <c r="AI37" s="25" t="str">
        <f>"PF="&amp;IF(MOD(COUNTIF(AN35:AV35,1),2)=0,1,0)</f>
        <v>PF=0</v>
      </c>
      <c r="AJ37" s="25"/>
      <c r="AK37" s="25"/>
      <c r="AL37" s="25"/>
      <c r="AN37" s="25" t="str">
        <f>"AF="&amp;IF(AS32+AS33+AS31&gt;=2,1,0)</f>
        <v>AF=0</v>
      </c>
      <c r="AO37" s="25"/>
      <c r="AP37" s="25"/>
      <c r="AQ37" s="25"/>
      <c r="AS37" s="25" t="str">
        <f>"ZF="&amp;IF(AX35=0,1,0)</f>
        <v>ZF=0</v>
      </c>
      <c r="AT37" s="25"/>
      <c r="AU37" s="25"/>
      <c r="AV37" s="25"/>
      <c r="AX37" t="str">
        <f>"SF="&amp;IF(AD35&lt;&gt;0,1,0)</f>
        <v>SF=0</v>
      </c>
      <c r="AZ37" t="str">
        <f>"OF="&amp;IF(AND(AD32=AD33, AD32&lt;&gt;AD35),1,0)</f>
        <v>OF=0</v>
      </c>
    </row>
    <row r="38" spans="1:61" ht="17.5" x14ac:dyDescent="0.35">
      <c r="AA38" s="5"/>
      <c r="AC38" s="10">
        <f t="shared" ref="AC38:AF38" si="170">INT((AD40+AD39+AD38)/2)</f>
        <v>0</v>
      </c>
      <c r="AD38" s="10">
        <f t="shared" si="170"/>
        <v>0</v>
      </c>
      <c r="AE38" s="10">
        <f t="shared" si="170"/>
        <v>0</v>
      </c>
      <c r="AF38" s="10">
        <f t="shared" si="170"/>
        <v>0</v>
      </c>
      <c r="AG38" s="10">
        <f>INT((AI40+AI39+AI38)/2)</f>
        <v>0</v>
      </c>
      <c r="AH38" s="10"/>
      <c r="AI38" s="10">
        <f t="shared" ref="AI38:AK38" si="171">INT((AJ40+AJ39+AJ38)/2)</f>
        <v>0</v>
      </c>
      <c r="AJ38" s="10">
        <f t="shared" si="171"/>
        <v>0</v>
      </c>
      <c r="AK38" s="10">
        <f t="shared" si="171"/>
        <v>0</v>
      </c>
      <c r="AL38" s="10">
        <f>INT((AN40+AN39+AN38)/2)</f>
        <v>0</v>
      </c>
      <c r="AM38" s="10"/>
      <c r="AN38" s="10">
        <f t="shared" ref="AN38:AO38" si="172">INT((AO40+AO39+AO38)/2)</f>
        <v>0</v>
      </c>
      <c r="AO38" s="10">
        <f t="shared" si="172"/>
        <v>0</v>
      </c>
      <c r="AP38" s="10">
        <f>INT((AQ40+AQ39+AQ38)/2)</f>
        <v>0</v>
      </c>
      <c r="AQ38" s="10">
        <f>INT((AS40+AS39+AS38)/2)</f>
        <v>0</v>
      </c>
      <c r="AR38" s="10"/>
      <c r="AS38" s="10">
        <f>INT((AT40+AT39+AT38)/2)</f>
        <v>0</v>
      </c>
      <c r="AT38" s="10">
        <f>INT((AU40+AU39+AU38)/2)</f>
        <v>0</v>
      </c>
      <c r="AU38" s="10">
        <f>INT((AV40+AV39)/2)</f>
        <v>0</v>
      </c>
      <c r="AV38" s="10"/>
    </row>
    <row r="39" spans="1:61" ht="17.5" customHeight="1" x14ac:dyDescent="0.35">
      <c r="Z39" s="5"/>
      <c r="AB39" s="11" t="s">
        <v>58</v>
      </c>
      <c r="AD39" s="19">
        <f>VALUE(G11)</f>
        <v>0</v>
      </c>
      <c r="AE39" s="19">
        <f t="shared" ref="AE39:AV39" si="173">VALUE(H11)</f>
        <v>0</v>
      </c>
      <c r="AF39" s="19">
        <f t="shared" si="173"/>
        <v>0</v>
      </c>
      <c r="AG39" s="19">
        <f t="shared" si="173"/>
        <v>0</v>
      </c>
      <c r="AH39" s="19" t="str">
        <f>(K11)</f>
        <v>.</v>
      </c>
      <c r="AI39" s="19">
        <f t="shared" si="173"/>
        <v>0</v>
      </c>
      <c r="AJ39" s="19">
        <f t="shared" si="173"/>
        <v>0</v>
      </c>
      <c r="AK39" s="19">
        <f t="shared" si="173"/>
        <v>0</v>
      </c>
      <c r="AL39" s="19">
        <f t="shared" si="173"/>
        <v>0</v>
      </c>
      <c r="AM39" s="19" t="str">
        <f>(P11)</f>
        <v>.</v>
      </c>
      <c r="AN39" s="19">
        <f t="shared" si="173"/>
        <v>0</v>
      </c>
      <c r="AO39" s="19">
        <f t="shared" si="173"/>
        <v>0</v>
      </c>
      <c r="AP39" s="19">
        <f t="shared" si="173"/>
        <v>0</v>
      </c>
      <c r="AQ39" s="19">
        <f t="shared" si="173"/>
        <v>0</v>
      </c>
      <c r="AR39" s="19" t="str">
        <f>(U11)</f>
        <v>.</v>
      </c>
      <c r="AS39" s="19">
        <f t="shared" si="173"/>
        <v>0</v>
      </c>
      <c r="AT39" s="19">
        <f t="shared" si="173"/>
        <v>0</v>
      </c>
      <c r="AU39" s="19">
        <f t="shared" si="173"/>
        <v>0</v>
      </c>
      <c r="AV39" s="19">
        <f t="shared" si="173"/>
        <v>1</v>
      </c>
      <c r="BB39" t="s">
        <v>59</v>
      </c>
      <c r="BD39" s="6">
        <f>C11</f>
        <v>1</v>
      </c>
      <c r="BF39" s="24" t="str">
        <f>IF(IF(AND(AD39=AD40, AD39&lt;&gt;AD42),1,0)=0,IF(AND(AX42=BD42,AC38=0),BJ$1,$BJ$3),IF(AD42=0,$BJ$4,$BJ$2))</f>
        <v>Результат корректный.</v>
      </c>
      <c r="BG39" s="24"/>
      <c r="BH39" s="24"/>
      <c r="BI39" s="24"/>
    </row>
    <row r="40" spans="1:61" ht="17.5" x14ac:dyDescent="0.35">
      <c r="Z40" s="5"/>
      <c r="AA40" s="1" t="s">
        <v>43</v>
      </c>
      <c r="AB40" s="11" t="s">
        <v>60</v>
      </c>
      <c r="AD40" s="19">
        <f>VALUE(G12)</f>
        <v>0</v>
      </c>
      <c r="AE40" s="19">
        <f t="shared" ref="AE40" si="174">VALUE(H12)</f>
        <v>0</v>
      </c>
      <c r="AF40" s="19">
        <f t="shared" ref="AF40" si="175">VALUE(I12)</f>
        <v>0</v>
      </c>
      <c r="AG40" s="19">
        <f t="shared" ref="AG40" si="176">VALUE(J12)</f>
        <v>0</v>
      </c>
      <c r="AH40" s="19" t="str">
        <f>(K12)</f>
        <v>.</v>
      </c>
      <c r="AI40" s="19">
        <f t="shared" ref="AI40" si="177">VALUE(L12)</f>
        <v>0</v>
      </c>
      <c r="AJ40" s="19">
        <f t="shared" ref="AJ40" si="178">VALUE(M12)</f>
        <v>0</v>
      </c>
      <c r="AK40" s="19">
        <f t="shared" ref="AK40" si="179">VALUE(N12)</f>
        <v>0</v>
      </c>
      <c r="AL40" s="19">
        <f t="shared" ref="AL40" si="180">VALUE(O12)</f>
        <v>0</v>
      </c>
      <c r="AM40" s="19" t="str">
        <f>(P12)</f>
        <v>.</v>
      </c>
      <c r="AN40" s="19">
        <f t="shared" ref="AN40" si="181">VALUE(Q12)</f>
        <v>0</v>
      </c>
      <c r="AO40" s="19">
        <f t="shared" ref="AO40" si="182">VALUE(R12)</f>
        <v>0</v>
      </c>
      <c r="AP40" s="19">
        <f t="shared" ref="AP40" si="183">VALUE(S12)</f>
        <v>0</v>
      </c>
      <c r="AQ40" s="19">
        <f t="shared" ref="AQ40" si="184">VALUE(T12)</f>
        <v>0</v>
      </c>
      <c r="AR40" s="19" t="str">
        <f>(U12)</f>
        <v>.</v>
      </c>
      <c r="AS40" s="19">
        <f t="shared" ref="AS40" si="185">VALUE(V12)</f>
        <v>0</v>
      </c>
      <c r="AT40" s="19">
        <f t="shared" ref="AT40" si="186">VALUE(W12)</f>
        <v>0</v>
      </c>
      <c r="AU40" s="19">
        <f t="shared" ref="AU40" si="187">VALUE(X12)</f>
        <v>0</v>
      </c>
      <c r="AV40" s="19">
        <f t="shared" ref="AV40" si="188">VALUE(Y12)</f>
        <v>0</v>
      </c>
      <c r="BA40" s="1" t="s">
        <v>43</v>
      </c>
      <c r="BB40" t="s">
        <v>61</v>
      </c>
      <c r="BD40" s="6">
        <f>C12</f>
        <v>0</v>
      </c>
      <c r="BF40" s="24"/>
      <c r="BG40" s="24"/>
      <c r="BH40" s="24"/>
      <c r="BI40" s="24"/>
    </row>
    <row r="41" spans="1:61" x14ac:dyDescent="0.35">
      <c r="Z41" s="1" t="s">
        <v>16</v>
      </c>
      <c r="AA41" s="9"/>
      <c r="AB41" s="12" t="s">
        <v>46</v>
      </c>
      <c r="AC41" s="12" t="s">
        <v>44</v>
      </c>
      <c r="AD41" s="12" t="s">
        <v>47</v>
      </c>
      <c r="AE41" s="12" t="s">
        <v>47</v>
      </c>
      <c r="AF41" s="12" t="s">
        <v>47</v>
      </c>
      <c r="AG41" s="12" t="s">
        <v>47</v>
      </c>
      <c r="AH41" s="12" t="s">
        <v>47</v>
      </c>
      <c r="AI41" s="12" t="s">
        <v>47</v>
      </c>
      <c r="AJ41" s="12" t="s">
        <v>47</v>
      </c>
      <c r="AK41" s="12" t="s">
        <v>47</v>
      </c>
      <c r="AL41" s="12" t="s">
        <v>47</v>
      </c>
      <c r="AM41" s="12" t="s">
        <v>47</v>
      </c>
      <c r="AN41" s="12" t="s">
        <v>47</v>
      </c>
      <c r="AO41" s="12" t="s">
        <v>47</v>
      </c>
      <c r="AP41" s="12" t="s">
        <v>47</v>
      </c>
      <c r="AQ41" s="12" t="s">
        <v>47</v>
      </c>
      <c r="AR41" s="12" t="s">
        <v>47</v>
      </c>
      <c r="AS41" s="12" t="s">
        <v>47</v>
      </c>
      <c r="AT41" s="12" t="s">
        <v>47</v>
      </c>
      <c r="AU41" s="12" t="s">
        <v>47</v>
      </c>
      <c r="AV41" s="12" t="s">
        <v>47</v>
      </c>
      <c r="AZ41" s="1" t="s">
        <v>16</v>
      </c>
      <c r="BA41" s="9"/>
      <c r="BB41" s="12" t="s">
        <v>45</v>
      </c>
      <c r="BC41" s="12" t="s">
        <v>45</v>
      </c>
      <c r="BD41" s="12" t="s">
        <v>46</v>
      </c>
      <c r="BE41" s="22"/>
      <c r="BF41" s="24"/>
      <c r="BG41" s="24"/>
      <c r="BH41" s="24"/>
      <c r="BI41" s="24"/>
    </row>
    <row r="42" spans="1:61" x14ac:dyDescent="0.35">
      <c r="Z42" s="16"/>
      <c r="AA42" s="15"/>
      <c r="AD42" s="19">
        <f t="shared" ref="AD42:AG42" si="189">MOD(AD39+AD40+AD38,2)</f>
        <v>0</v>
      </c>
      <c r="AE42" s="19">
        <f t="shared" si="189"/>
        <v>0</v>
      </c>
      <c r="AF42" s="19">
        <f t="shared" si="189"/>
        <v>0</v>
      </c>
      <c r="AG42" s="19">
        <f t="shared" si="189"/>
        <v>0</v>
      </c>
      <c r="AH42" s="19" t="s">
        <v>42</v>
      </c>
      <c r="AI42" s="19">
        <f t="shared" ref="AI42:AL42" si="190">MOD(AI39+AI40+AI38,2)</f>
        <v>0</v>
      </c>
      <c r="AJ42" s="19">
        <f t="shared" si="190"/>
        <v>0</v>
      </c>
      <c r="AK42" s="19">
        <f t="shared" si="190"/>
        <v>0</v>
      </c>
      <c r="AL42" s="19">
        <f t="shared" si="190"/>
        <v>0</v>
      </c>
      <c r="AM42" s="19" t="s">
        <v>42</v>
      </c>
      <c r="AN42" s="19">
        <f t="shared" ref="AN42:AQ42" si="191">MOD(AN39+AN40+AN38,2)</f>
        <v>0</v>
      </c>
      <c r="AO42" s="19">
        <f t="shared" si="191"/>
        <v>0</v>
      </c>
      <c r="AP42" s="19">
        <f t="shared" si="191"/>
        <v>0</v>
      </c>
      <c r="AQ42" s="19">
        <f t="shared" si="191"/>
        <v>0</v>
      </c>
      <c r="AR42" s="19" t="s">
        <v>42</v>
      </c>
      <c r="AS42" s="19">
        <f t="shared" ref="AS42:AT42" si="192">MOD(AS39+AS40+AS38,2)</f>
        <v>0</v>
      </c>
      <c r="AT42" s="19">
        <f t="shared" si="192"/>
        <v>0</v>
      </c>
      <c r="AU42" s="19">
        <f>MOD(AU39+AU40+AU38,2)</f>
        <v>0</v>
      </c>
      <c r="AV42" s="19">
        <f>MOD(AV39+AV40+AV38,2)</f>
        <v>1</v>
      </c>
      <c r="AW42" s="13" t="s">
        <v>48</v>
      </c>
      <c r="AX42" s="6">
        <f>IF($AD42=0,SUM(AD43:AV43),(SUM(AD43:AV43)+1)*-1)</f>
        <v>1</v>
      </c>
      <c r="AY42" s="14" t="s">
        <v>51</v>
      </c>
      <c r="BD42" s="6">
        <f>BD39+BD40</f>
        <v>1</v>
      </c>
      <c r="BE42" s="23" t="s">
        <v>51</v>
      </c>
      <c r="BF42" s="24"/>
      <c r="BG42" s="24"/>
      <c r="BH42" s="24"/>
      <c r="BI42" s="24"/>
    </row>
    <row r="43" spans="1:61" x14ac:dyDescent="0.35">
      <c r="AA43" s="9"/>
      <c r="AD43" s="10">
        <f t="shared" ref="AD43" si="193">IF($AD42=0,AD42*POWER(2,16-(COLUMN(AD43)-COLUMN($AC43)-0)),(1-AD42)*POWER(2,16-(COLUMN(AD43)-COLUMN($AC43)-0)))</f>
        <v>0</v>
      </c>
      <c r="AE43" s="10">
        <f t="shared" ref="AE43" si="194">IF($AD42=0,AE42*POWER(2,16-(COLUMN(AE43)-COLUMN($AC43)-0)),(1-AE42)*POWER(2,16-(COLUMN(AE43)-COLUMN($AC43)-0)))</f>
        <v>0</v>
      </c>
      <c r="AF43" s="10">
        <f t="shared" ref="AF43" si="195">IF($AD42=0,AF42*POWER(2,16-(COLUMN(AF43)-COLUMN($AC43)-0)),(1-AF42)*POWER(2,16-(COLUMN(AF43)-COLUMN($AC43)-0)))</f>
        <v>0</v>
      </c>
      <c r="AG43" s="10">
        <f>IF($AD42=0,AG42*POWER(2,16-(COLUMN(AG43)-COLUMN($AC43)-0)),(1-AG42)*POWER(2,16-(COLUMN(AG43)-COLUMN($AC43)-0)))</f>
        <v>0</v>
      </c>
      <c r="AH43" s="10"/>
      <c r="AI43" s="10">
        <f t="shared" ref="AI43" si="196">IF($AD42=0,AI42*POWER(2,16-(COLUMN(AI43)-COLUMN($AC43)-1)),(1-AI42)*POWER(2,16-(COLUMN(AI43)-COLUMN($AC43)-1)))</f>
        <v>0</v>
      </c>
      <c r="AJ43" s="10">
        <f t="shared" ref="AJ43" si="197">IF($AD42=0,AJ42*POWER(2,16-(COLUMN(AJ43)-COLUMN($AC43)-1)),(1-AJ42)*POWER(2,16-(COLUMN(AJ43)-COLUMN($AC43)-1)))</f>
        <v>0</v>
      </c>
      <c r="AK43" s="10">
        <f t="shared" ref="AK43" si="198">IF($AD42=0,AK42*POWER(2,16-(COLUMN(AK43)-COLUMN($AC43)-1)),(1-AK42)*POWER(2,16-(COLUMN(AK43)-COLUMN($AC43)-1)))</f>
        <v>0</v>
      </c>
      <c r="AL43" s="10">
        <f>IF($AD42=0,AL42*POWER(2,16-(COLUMN(AL43)-COLUMN($AC43)-1)),(1-AL42)*POWER(2,16-(COLUMN(AL43)-COLUMN($AC43)-1)))</f>
        <v>0</v>
      </c>
      <c r="AM43" s="10"/>
      <c r="AN43" s="10">
        <f t="shared" ref="AN43" si="199">IF($AD42=0,AN42*POWER(2,16-(COLUMN(AN43)-COLUMN($AC43)-2)),(1-AN42)*POWER(2,16-(COLUMN(AN43)-COLUMN($AC43)-2)))</f>
        <v>0</v>
      </c>
      <c r="AO43" s="10">
        <f t="shared" ref="AO43" si="200">IF($AD42=0,AO42*POWER(2,16-(COLUMN(AO43)-COLUMN($AC43)-2)),(1-AO42)*POWER(2,16-(COLUMN(AO43)-COLUMN($AC43)-2)))</f>
        <v>0</v>
      </c>
      <c r="AP43" s="10">
        <f t="shared" ref="AP43" si="201">IF($AD42=0,AP42*POWER(2,16-(COLUMN(AP43)-COLUMN($AC43)-2)),(1-AP42)*POWER(2,16-(COLUMN(AP43)-COLUMN($AC43)-2)))</f>
        <v>0</v>
      </c>
      <c r="AQ43" s="10">
        <f>IF($AD42=0,AQ42*POWER(2,16-(COLUMN(AQ43)-COLUMN($AC43)-2)),(1-AQ42)*POWER(2,16-(COLUMN(AQ43)-COLUMN($AC43)-2)))</f>
        <v>0</v>
      </c>
      <c r="AR43" s="10"/>
      <c r="AS43" s="10">
        <f t="shared" ref="AS43" si="202">IF($AD42=0,AS42*POWER(2,16-(COLUMN(AS43)-COLUMN($AC43)-3)),(1-AS42)*POWER(2,16-(COLUMN(AS43)-COLUMN($AC43)-3)))</f>
        <v>0</v>
      </c>
      <c r="AT43" s="10">
        <f t="shared" ref="AT43" si="203">IF($AD42=0,AT42*POWER(2,16-(COLUMN(AT43)-COLUMN($AC43)-3)),(1-AT42)*POWER(2,16-(COLUMN(AT43)-COLUMN($AC43)-3)))</f>
        <v>0</v>
      </c>
      <c r="AU43" s="10">
        <f t="shared" ref="AU43" si="204">IF($AD42=0,AU42*POWER(2,16-(COLUMN(AU43)-COLUMN($AC43)-3)),(1-AU42)*POWER(2,16-(COLUMN(AU43)-COLUMN($AC43)-3)))</f>
        <v>0</v>
      </c>
      <c r="AV43" s="10">
        <f>IF($AD42=0,AV42*POWER(2,16-(COLUMN(AV43)-COLUMN($AC43)-3)),(1-AV42)*POWER(2,16-(COLUMN(AV43)-COLUMN($AC43)-3)))</f>
        <v>1</v>
      </c>
    </row>
    <row r="44" spans="1:61" x14ac:dyDescent="0.35">
      <c r="AA44" s="9"/>
      <c r="AD44" s="25" t="str">
        <f>"CF="&amp;AC38</f>
        <v>CF=0</v>
      </c>
      <c r="AE44" s="25"/>
      <c r="AF44" s="25"/>
      <c r="AG44" s="25"/>
      <c r="AI44" s="25" t="str">
        <f>"PF="&amp;IF(MOD(COUNTIF(AN42:AV42,1),2)=0,1,0)</f>
        <v>PF=0</v>
      </c>
      <c r="AJ44" s="25"/>
      <c r="AK44" s="25"/>
      <c r="AL44" s="25"/>
      <c r="AN44" s="25" t="str">
        <f>"AF="&amp;IF(AS39+AS40+AS38&gt;=2,1,0)</f>
        <v>AF=0</v>
      </c>
      <c r="AO44" s="25"/>
      <c r="AP44" s="25"/>
      <c r="AQ44" s="25"/>
      <c r="AS44" s="25" t="str">
        <f>"ZF="&amp;IF(AX42=0,1,0)</f>
        <v>ZF=0</v>
      </c>
      <c r="AT44" s="25"/>
      <c r="AU44" s="25"/>
      <c r="AV44" s="25"/>
      <c r="AX44" t="str">
        <f>"SF="&amp;IF(AD42&lt;&gt;0,1,0)</f>
        <v>SF=0</v>
      </c>
      <c r="AZ44" t="str">
        <f>"OF="&amp;IF(AND(AD39=AD40, AD39&lt;&gt;AD42),1,0)</f>
        <v>OF=0</v>
      </c>
    </row>
    <row r="45" spans="1:61" ht="17.5" x14ac:dyDescent="0.35">
      <c r="AA45" s="5"/>
      <c r="AC45" s="10">
        <f t="shared" ref="AC45:AF45" si="205">INT((AD47+AD46+AD45)/2)</f>
        <v>0</v>
      </c>
      <c r="AD45" s="10">
        <f t="shared" si="205"/>
        <v>0</v>
      </c>
      <c r="AE45" s="10">
        <f t="shared" si="205"/>
        <v>0</v>
      </c>
      <c r="AF45" s="10">
        <f t="shared" si="205"/>
        <v>0</v>
      </c>
      <c r="AG45" s="10">
        <f>INT((AI47+AI46+AI45)/2)</f>
        <v>0</v>
      </c>
      <c r="AH45" s="10"/>
      <c r="AI45" s="10">
        <f t="shared" ref="AI45:AK45" si="206">INT((AJ47+AJ46+AJ45)/2)</f>
        <v>0</v>
      </c>
      <c r="AJ45" s="10">
        <f t="shared" si="206"/>
        <v>0</v>
      </c>
      <c r="AK45" s="10">
        <f t="shared" si="206"/>
        <v>0</v>
      </c>
      <c r="AL45" s="10">
        <f>INT((AN47+AN46+AN45)/2)</f>
        <v>0</v>
      </c>
      <c r="AM45" s="10"/>
      <c r="AN45" s="10">
        <f t="shared" ref="AN45:AO45" si="207">INT((AO47+AO46+AO45)/2)</f>
        <v>0</v>
      </c>
      <c r="AO45" s="10">
        <f t="shared" si="207"/>
        <v>0</v>
      </c>
      <c r="AP45" s="10">
        <f>INT((AQ47+AQ46+AQ45)/2)</f>
        <v>0</v>
      </c>
      <c r="AQ45" s="10">
        <f>INT((AS47+AS46+AS45)/2)</f>
        <v>0</v>
      </c>
      <c r="AR45" s="10"/>
      <c r="AS45" s="10">
        <f>INT((AT47+AT46+AT45)/2)</f>
        <v>0</v>
      </c>
      <c r="AT45" s="10">
        <f>INT((AU47+AU46+AU45)/2)</f>
        <v>0</v>
      </c>
      <c r="AU45" s="10">
        <f>INT((AV47+AV46)/2)</f>
        <v>0</v>
      </c>
      <c r="AV45" s="10"/>
    </row>
    <row r="46" spans="1:61" ht="17.5" customHeight="1" x14ac:dyDescent="0.35">
      <c r="Z46" s="5"/>
      <c r="AB46" s="11" t="s">
        <v>62</v>
      </c>
      <c r="AD46" s="19">
        <f>VALUE(G14)</f>
        <v>0</v>
      </c>
      <c r="AE46" s="19">
        <f t="shared" ref="AE46:AV46" si="208">VALUE(H14)</f>
        <v>0</v>
      </c>
      <c r="AF46" s="19">
        <f t="shared" si="208"/>
        <v>0</v>
      </c>
      <c r="AG46" s="19">
        <f t="shared" si="208"/>
        <v>0</v>
      </c>
      <c r="AH46" s="19" t="str">
        <f>(K14)</f>
        <v>.</v>
      </c>
      <c r="AI46" s="19">
        <f t="shared" si="208"/>
        <v>0</v>
      </c>
      <c r="AJ46" s="19">
        <f t="shared" si="208"/>
        <v>0</v>
      </c>
      <c r="AK46" s="19">
        <f t="shared" si="208"/>
        <v>0</v>
      </c>
      <c r="AL46" s="19">
        <f t="shared" si="208"/>
        <v>0</v>
      </c>
      <c r="AM46" s="19" t="str">
        <f>(P14)</f>
        <v>.</v>
      </c>
      <c r="AN46" s="19">
        <f t="shared" si="208"/>
        <v>0</v>
      </c>
      <c r="AO46" s="19">
        <f t="shared" si="208"/>
        <v>0</v>
      </c>
      <c r="AP46" s="19">
        <f t="shared" si="208"/>
        <v>0</v>
      </c>
      <c r="AQ46" s="19">
        <f t="shared" si="208"/>
        <v>0</v>
      </c>
      <c r="AR46" s="19" t="str">
        <f>(U14)</f>
        <v>.</v>
      </c>
      <c r="AS46" s="19">
        <f t="shared" si="208"/>
        <v>0</v>
      </c>
      <c r="AT46" s="19">
        <f t="shared" si="208"/>
        <v>0</v>
      </c>
      <c r="AU46" s="19">
        <f t="shared" si="208"/>
        <v>1</v>
      </c>
      <c r="AV46" s="19">
        <f t="shared" si="208"/>
        <v>0</v>
      </c>
      <c r="BB46" t="s">
        <v>63</v>
      </c>
      <c r="BD46" s="6">
        <f>C14</f>
        <v>2</v>
      </c>
      <c r="BF46" s="24" t="str">
        <f>IF(IF(AND(AD46=AD47, AD46&lt;&gt;AD49),1,0)=0,IF(AND(AX49=BD49,AC45=0),BJ$1,$BJ$3),IF(AD49=0,$BJ$4,$BJ$2))</f>
        <v>Результат корректный.</v>
      </c>
      <c r="BG46" s="24"/>
      <c r="BH46" s="24"/>
      <c r="BI46" s="24"/>
    </row>
    <row r="47" spans="1:61" ht="17.5" x14ac:dyDescent="0.35">
      <c r="Z47" s="5"/>
      <c r="AA47" s="1" t="s">
        <v>43</v>
      </c>
      <c r="AB47" s="11" t="s">
        <v>54</v>
      </c>
      <c r="AD47" s="19">
        <f>VALUE(G6)</f>
        <v>0</v>
      </c>
      <c r="AE47" s="19">
        <f t="shared" ref="AE47:AV47" si="209">VALUE(H6)</f>
        <v>0</v>
      </c>
      <c r="AF47" s="19">
        <f t="shared" si="209"/>
        <v>0</v>
      </c>
      <c r="AG47" s="19">
        <f t="shared" si="209"/>
        <v>0</v>
      </c>
      <c r="AH47" s="19" t="str">
        <f>(K6)</f>
        <v>.</v>
      </c>
      <c r="AI47" s="19">
        <f t="shared" si="209"/>
        <v>0</v>
      </c>
      <c r="AJ47" s="19">
        <f t="shared" si="209"/>
        <v>0</v>
      </c>
      <c r="AK47" s="19">
        <f t="shared" si="209"/>
        <v>0</v>
      </c>
      <c r="AL47" s="19">
        <f t="shared" si="209"/>
        <v>0</v>
      </c>
      <c r="AM47" s="19" t="str">
        <f>(P6)</f>
        <v>.</v>
      </c>
      <c r="AN47" s="19">
        <f t="shared" si="209"/>
        <v>0</v>
      </c>
      <c r="AO47" s="19">
        <f t="shared" si="209"/>
        <v>0</v>
      </c>
      <c r="AP47" s="19">
        <f t="shared" si="209"/>
        <v>0</v>
      </c>
      <c r="AQ47" s="19">
        <f t="shared" si="209"/>
        <v>0</v>
      </c>
      <c r="AR47" s="19" t="str">
        <f>(U6)</f>
        <v>.</v>
      </c>
      <c r="AS47" s="19">
        <f t="shared" si="209"/>
        <v>0</v>
      </c>
      <c r="AT47" s="19">
        <f t="shared" si="209"/>
        <v>0</v>
      </c>
      <c r="AU47" s="19">
        <f t="shared" si="209"/>
        <v>0</v>
      </c>
      <c r="AV47" s="19">
        <f t="shared" si="209"/>
        <v>0</v>
      </c>
      <c r="BA47" s="1" t="s">
        <v>43</v>
      </c>
      <c r="BB47" t="s">
        <v>55</v>
      </c>
      <c r="BD47" s="6">
        <f>C6</f>
        <v>0</v>
      </c>
      <c r="BF47" s="24"/>
      <c r="BG47" s="24"/>
      <c r="BH47" s="24"/>
      <c r="BI47" s="24"/>
    </row>
    <row r="48" spans="1:61" x14ac:dyDescent="0.35">
      <c r="Z48" s="1" t="s">
        <v>16</v>
      </c>
      <c r="AA48" s="9"/>
      <c r="AB48" s="12" t="s">
        <v>46</v>
      </c>
      <c r="AC48" s="12" t="s">
        <v>44</v>
      </c>
      <c r="AD48" s="12" t="s">
        <v>47</v>
      </c>
      <c r="AE48" s="12" t="s">
        <v>47</v>
      </c>
      <c r="AF48" s="12" t="s">
        <v>47</v>
      </c>
      <c r="AG48" s="12" t="s">
        <v>47</v>
      </c>
      <c r="AH48" s="12" t="s">
        <v>47</v>
      </c>
      <c r="AI48" s="12" t="s">
        <v>47</v>
      </c>
      <c r="AJ48" s="12" t="s">
        <v>47</v>
      </c>
      <c r="AK48" s="12" t="s">
        <v>47</v>
      </c>
      <c r="AL48" s="12" t="s">
        <v>47</v>
      </c>
      <c r="AM48" s="12" t="s">
        <v>47</v>
      </c>
      <c r="AN48" s="12" t="s">
        <v>47</v>
      </c>
      <c r="AO48" s="12" t="s">
        <v>47</v>
      </c>
      <c r="AP48" s="12" t="s">
        <v>47</v>
      </c>
      <c r="AQ48" s="12" t="s">
        <v>47</v>
      </c>
      <c r="AR48" s="12" t="s">
        <v>47</v>
      </c>
      <c r="AS48" s="12" t="s">
        <v>47</v>
      </c>
      <c r="AT48" s="12" t="s">
        <v>47</v>
      </c>
      <c r="AU48" s="12" t="s">
        <v>47</v>
      </c>
      <c r="AV48" s="12" t="s">
        <v>47</v>
      </c>
      <c r="AZ48" s="1" t="s">
        <v>16</v>
      </c>
      <c r="BA48" s="9"/>
      <c r="BB48" s="12" t="s">
        <v>45</v>
      </c>
      <c r="BC48" s="12" t="s">
        <v>45</v>
      </c>
      <c r="BD48" s="12" t="s">
        <v>46</v>
      </c>
      <c r="BE48" s="22"/>
      <c r="BF48" s="24"/>
      <c r="BG48" s="24"/>
      <c r="BH48" s="24"/>
      <c r="BI48" s="24"/>
    </row>
    <row r="49" spans="26:61" x14ac:dyDescent="0.35">
      <c r="Z49" s="16"/>
      <c r="AA49" s="15"/>
      <c r="AD49" s="19">
        <f t="shared" ref="AD49:AG49" si="210">MOD(AD46+AD47+AD45,2)</f>
        <v>0</v>
      </c>
      <c r="AE49" s="19">
        <f t="shared" si="210"/>
        <v>0</v>
      </c>
      <c r="AF49" s="19">
        <f t="shared" si="210"/>
        <v>0</v>
      </c>
      <c r="AG49" s="19">
        <f t="shared" si="210"/>
        <v>0</v>
      </c>
      <c r="AH49" s="19" t="s">
        <v>42</v>
      </c>
      <c r="AI49" s="19">
        <f t="shared" ref="AI49:AL49" si="211">MOD(AI46+AI47+AI45,2)</f>
        <v>0</v>
      </c>
      <c r="AJ49" s="19">
        <f t="shared" si="211"/>
        <v>0</v>
      </c>
      <c r="AK49" s="19">
        <f t="shared" si="211"/>
        <v>0</v>
      </c>
      <c r="AL49" s="19">
        <f t="shared" si="211"/>
        <v>0</v>
      </c>
      <c r="AM49" s="19" t="s">
        <v>42</v>
      </c>
      <c r="AN49" s="19">
        <f t="shared" ref="AN49:AQ49" si="212">MOD(AN46+AN47+AN45,2)</f>
        <v>0</v>
      </c>
      <c r="AO49" s="19">
        <f t="shared" si="212"/>
        <v>0</v>
      </c>
      <c r="AP49" s="19">
        <f t="shared" si="212"/>
        <v>0</v>
      </c>
      <c r="AQ49" s="19">
        <f t="shared" si="212"/>
        <v>0</v>
      </c>
      <c r="AR49" s="19" t="s">
        <v>42</v>
      </c>
      <c r="AS49" s="19">
        <f t="shared" ref="AS49:AT49" si="213">MOD(AS46+AS47+AS45,2)</f>
        <v>0</v>
      </c>
      <c r="AT49" s="19">
        <f t="shared" si="213"/>
        <v>0</v>
      </c>
      <c r="AU49" s="19">
        <f>MOD(AU46+AU47+AU45,2)</f>
        <v>1</v>
      </c>
      <c r="AV49" s="19">
        <f>MOD(AV46+AV47+AV45,2)</f>
        <v>0</v>
      </c>
      <c r="AW49" s="13" t="s">
        <v>48</v>
      </c>
      <c r="AX49" s="6">
        <f>IF($AD49=0,SUM(AD50:AV50),(SUM(AD50:AV50)+1)*-1)</f>
        <v>2</v>
      </c>
      <c r="AY49" s="14" t="s">
        <v>51</v>
      </c>
      <c r="BD49" s="6">
        <f>BD46+BD47</f>
        <v>2</v>
      </c>
      <c r="BE49" s="23" t="s">
        <v>51</v>
      </c>
      <c r="BF49" s="24"/>
      <c r="BG49" s="24"/>
      <c r="BH49" s="24"/>
      <c r="BI49" s="24"/>
    </row>
    <row r="50" spans="26:61" x14ac:dyDescent="0.35">
      <c r="AA50" s="9"/>
      <c r="AD50" s="10">
        <f t="shared" ref="AD50" si="214">IF($AD49=0,AD49*POWER(2,16-(COLUMN(AD50)-COLUMN($AC50)-0)),(1-AD49)*POWER(2,16-(COLUMN(AD50)-COLUMN($AC50)-0)))</f>
        <v>0</v>
      </c>
      <c r="AE50" s="10">
        <f t="shared" ref="AE50" si="215">IF($AD49=0,AE49*POWER(2,16-(COLUMN(AE50)-COLUMN($AC50)-0)),(1-AE49)*POWER(2,16-(COLUMN(AE50)-COLUMN($AC50)-0)))</f>
        <v>0</v>
      </c>
      <c r="AF50" s="10">
        <f t="shared" ref="AF50" si="216">IF($AD49=0,AF49*POWER(2,16-(COLUMN(AF50)-COLUMN($AC50)-0)),(1-AF49)*POWER(2,16-(COLUMN(AF50)-COLUMN($AC50)-0)))</f>
        <v>0</v>
      </c>
      <c r="AG50" s="10">
        <f>IF($AD49=0,AG49*POWER(2,16-(COLUMN(AG50)-COLUMN($AC50)-0)),(1-AG49)*POWER(2,16-(COLUMN(AG50)-COLUMN($AC50)-0)))</f>
        <v>0</v>
      </c>
      <c r="AH50" s="10"/>
      <c r="AI50" s="10">
        <f t="shared" ref="AI50" si="217">IF($AD49=0,AI49*POWER(2,16-(COLUMN(AI50)-COLUMN($AC50)-1)),(1-AI49)*POWER(2,16-(COLUMN(AI50)-COLUMN($AC50)-1)))</f>
        <v>0</v>
      </c>
      <c r="AJ50" s="10">
        <f t="shared" ref="AJ50" si="218">IF($AD49=0,AJ49*POWER(2,16-(COLUMN(AJ50)-COLUMN($AC50)-1)),(1-AJ49)*POWER(2,16-(COLUMN(AJ50)-COLUMN($AC50)-1)))</f>
        <v>0</v>
      </c>
      <c r="AK50" s="10">
        <f t="shared" ref="AK50" si="219">IF($AD49=0,AK49*POWER(2,16-(COLUMN(AK50)-COLUMN($AC50)-1)),(1-AK49)*POWER(2,16-(COLUMN(AK50)-COLUMN($AC50)-1)))</f>
        <v>0</v>
      </c>
      <c r="AL50" s="10">
        <f>IF($AD49=0,AL49*POWER(2,16-(COLUMN(AL50)-COLUMN($AC50)-1)),(1-AL49)*POWER(2,16-(COLUMN(AL50)-COLUMN($AC50)-1)))</f>
        <v>0</v>
      </c>
      <c r="AM50" s="10"/>
      <c r="AN50" s="10">
        <f t="shared" ref="AN50" si="220">IF($AD49=0,AN49*POWER(2,16-(COLUMN(AN50)-COLUMN($AC50)-2)),(1-AN49)*POWER(2,16-(COLUMN(AN50)-COLUMN($AC50)-2)))</f>
        <v>0</v>
      </c>
      <c r="AO50" s="10">
        <f t="shared" ref="AO50" si="221">IF($AD49=0,AO49*POWER(2,16-(COLUMN(AO50)-COLUMN($AC50)-2)),(1-AO49)*POWER(2,16-(COLUMN(AO50)-COLUMN($AC50)-2)))</f>
        <v>0</v>
      </c>
      <c r="AP50" s="10">
        <f t="shared" ref="AP50" si="222">IF($AD49=0,AP49*POWER(2,16-(COLUMN(AP50)-COLUMN($AC50)-2)),(1-AP49)*POWER(2,16-(COLUMN(AP50)-COLUMN($AC50)-2)))</f>
        <v>0</v>
      </c>
      <c r="AQ50" s="10">
        <f>IF($AD49=0,AQ49*POWER(2,16-(COLUMN(AQ50)-COLUMN($AC50)-2)),(1-AQ49)*POWER(2,16-(COLUMN(AQ50)-COLUMN($AC50)-2)))</f>
        <v>0</v>
      </c>
      <c r="AR50" s="10"/>
      <c r="AS50" s="10">
        <f t="shared" ref="AS50" si="223">IF($AD49=0,AS49*POWER(2,16-(COLUMN(AS50)-COLUMN($AC50)-3)),(1-AS49)*POWER(2,16-(COLUMN(AS50)-COLUMN($AC50)-3)))</f>
        <v>0</v>
      </c>
      <c r="AT50" s="10">
        <f t="shared" ref="AT50" si="224">IF($AD49=0,AT49*POWER(2,16-(COLUMN(AT50)-COLUMN($AC50)-3)),(1-AT49)*POWER(2,16-(COLUMN(AT50)-COLUMN($AC50)-3)))</f>
        <v>0</v>
      </c>
      <c r="AU50" s="10">
        <f t="shared" ref="AU50" si="225">IF($AD49=0,AU49*POWER(2,16-(COLUMN(AU50)-COLUMN($AC50)-3)),(1-AU49)*POWER(2,16-(COLUMN(AU50)-COLUMN($AC50)-3)))</f>
        <v>2</v>
      </c>
      <c r="AV50" s="10">
        <f>IF($AD49=0,AV49*POWER(2,16-(COLUMN(AV50)-COLUMN($AC50)-3)),(1-AV49)*POWER(2,16-(COLUMN(AV50)-COLUMN($AC50)-3)))</f>
        <v>0</v>
      </c>
    </row>
    <row r="51" spans="26:61" x14ac:dyDescent="0.35">
      <c r="AA51" s="9"/>
      <c r="AD51" s="25" t="str">
        <f>"CF="&amp;AC45</f>
        <v>CF=0</v>
      </c>
      <c r="AE51" s="25"/>
      <c r="AF51" s="25"/>
      <c r="AG51" s="25"/>
      <c r="AI51" s="25" t="str">
        <f>"PF="&amp;IF(MOD(COUNTIF(AN49:AV49,1),2)=0,1,0)</f>
        <v>PF=0</v>
      </c>
      <c r="AJ51" s="25"/>
      <c r="AK51" s="25"/>
      <c r="AL51" s="25"/>
      <c r="AN51" s="25" t="str">
        <f>"AF="&amp;IF(AS46+AS47+AS45&gt;=2,1,0)</f>
        <v>AF=0</v>
      </c>
      <c r="AO51" s="25"/>
      <c r="AP51" s="25"/>
      <c r="AQ51" s="25"/>
      <c r="AS51" s="25" t="str">
        <f>"ZF="&amp;IF(AX49=0,1,0)</f>
        <v>ZF=0</v>
      </c>
      <c r="AT51" s="25"/>
      <c r="AU51" s="25"/>
      <c r="AV51" s="25"/>
      <c r="AX51" t="str">
        <f>"SF="&amp;IF(AD49&lt;&gt;0,1,0)</f>
        <v>SF=0</v>
      </c>
      <c r="AZ51" t="str">
        <f>"OF="&amp;IF(AND(AD46=AD47, AD46&lt;&gt;AD49),1,0)</f>
        <v>OF=0</v>
      </c>
    </row>
  </sheetData>
  <mergeCells count="36">
    <mergeCell ref="A17:B20"/>
    <mergeCell ref="AD23:AG23"/>
    <mergeCell ref="AI23:AL23"/>
    <mergeCell ref="AN23:AQ23"/>
    <mergeCell ref="AS23:AV23"/>
    <mergeCell ref="AS9:AV9"/>
    <mergeCell ref="AD16:AG16"/>
    <mergeCell ref="AI16:AL16"/>
    <mergeCell ref="AN16:AQ16"/>
    <mergeCell ref="AS16:AV16"/>
    <mergeCell ref="AD9:AG9"/>
    <mergeCell ref="AI9:AL9"/>
    <mergeCell ref="AN9:AQ9"/>
    <mergeCell ref="AD30:AG30"/>
    <mergeCell ref="AI30:AL30"/>
    <mergeCell ref="AN30:AQ30"/>
    <mergeCell ref="AS30:AV30"/>
    <mergeCell ref="AD37:AG37"/>
    <mergeCell ref="AI37:AL37"/>
    <mergeCell ref="AN37:AQ37"/>
    <mergeCell ref="AS37:AV37"/>
    <mergeCell ref="BF39:BI42"/>
    <mergeCell ref="AD51:AG51"/>
    <mergeCell ref="AI51:AL51"/>
    <mergeCell ref="AN51:AQ51"/>
    <mergeCell ref="AS51:AV51"/>
    <mergeCell ref="AD44:AG44"/>
    <mergeCell ref="AI44:AL44"/>
    <mergeCell ref="AN44:AQ44"/>
    <mergeCell ref="AS44:AV44"/>
    <mergeCell ref="BF46:BI49"/>
    <mergeCell ref="BF4:BI7"/>
    <mergeCell ref="BF11:BI14"/>
    <mergeCell ref="BF18:BI21"/>
    <mergeCell ref="BF25:BI28"/>
    <mergeCell ref="BF32:BI35"/>
  </mergeCells>
  <pageMargins left="0.7" right="0.7" top="0.75" bottom="0.75" header="0.3" footer="0.3"/>
  <pageSetup paperSize="9" orientation="portrait" verticalDpi="0" r:id="rId1"/>
  <headerFooter>
    <oddHeader>&amp;CГерасюто Фадей Александрович, вариант 10, &amp;F</oddHeader>
    <oddFooter>&amp;C13.12.2025, 8:05</oddFooter>
  </headerFooter>
  <ignoredErrors>
    <ignoredError sqref="AY7 BE7 AY14 BE14 AY21 BE21 AY28 BE28 AY35 BE35 AY42 BE42 AY49 BE49" numberStoredAsText="1"/>
    <ignoredError sqref="AH4:AH5 AM4:AM5 AR4:AR5 AH11:AH12 AM11:AM12 AR11:AR12 AH18:AH19 AM18:AM19 AR18:AR19 AH25:AH26 AM25:AM26 AR25:AR26 AH32:AH33 AM32:AM33 AR32:AR33 AH39:AH40 AM39:AM40 AR39:AR40 AH46:AH47 AM46:AM47 AR46:AR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Fadey Gerasyuto</dc:creator>
  <cp:lastModifiedBy>Fadey Gerasyuto</cp:lastModifiedBy>
  <dcterms:created xsi:type="dcterms:W3CDTF">2025-12-12T22:48:34Z</dcterms:created>
  <dcterms:modified xsi:type="dcterms:W3CDTF">2025-12-14T02:36:01Z</dcterms:modified>
</cp:coreProperties>
</file>